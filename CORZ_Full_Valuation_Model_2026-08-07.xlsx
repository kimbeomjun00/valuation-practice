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d5d2fa0d1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95aaa850a5274138"/>
    <x:sheet xmlns:r="http://schemas.openxmlformats.org/officeDocument/2006/relationships" name="Historical" sheetId="2" r:id="R972eb7d9f382484b"/>
    <x:sheet xmlns:r="http://schemas.openxmlformats.org/officeDocument/2006/relationships" name="Contracts" sheetId="3" r:id="R493cae3e84e94bb5"/>
    <x:sheet xmlns:r="http://schemas.openxmlformats.org/officeDocument/2006/relationships" name="CapitalStructure" sheetId="4" r:id="R48c6f67c1cec40e8"/>
    <x:sheet xmlns:r="http://schemas.openxmlformats.org/officeDocument/2006/relationships" name="Forecast" sheetId="5" r:id="R3ba2ce67cd8b49ad"/>
    <x:sheet xmlns:r="http://schemas.openxmlformats.org/officeDocument/2006/relationships" name="SOTP" sheetId="6" r:id="R916fbbde4fa14990"/>
    <x:sheet xmlns:r="http://schemas.openxmlformats.org/officeDocument/2006/relationships" name="Multiples" sheetId="7" r:id="R46abfae84a8f4851"/>
    <x:sheet xmlns:r="http://schemas.openxmlformats.org/officeDocument/2006/relationships" name="DCF" sheetId="8" r:id="R9ad286d243734fdf"/>
    <x:sheet xmlns:r="http://schemas.openxmlformats.org/officeDocument/2006/relationships" name="Valuation" sheetId="9" r:id="R2dd9b06d4fb0497c"/>
    <x:sheet xmlns:r="http://schemas.openxmlformats.org/officeDocument/2006/relationships" name="Sensitivity" sheetId="10" r:id="R04d47cbe36b94f06"/>
    <x:sheet xmlns:r="http://schemas.openxmlformats.org/officeDocument/2006/relationships" name="Dashboard" sheetId="11" r:id="R4e752665606a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$#,##0.0;[Red]($#,##0.0);-"/>
    <x:numFmt numFmtId="202" formatCode="0.0"/>
    <x:numFmt numFmtId="203" formatCode="$0.00;[Red]($0.00);-"/>
    <x:numFmt numFmtId="204" formatCode="0"/>
    <x:numFmt numFmtId="205" formatCode="0.0%;[Red](0.0%);-"/>
    <x:numFmt numFmtId="206" formatCode="$0.00"/>
    <x:numFmt numFmtId="207" formatCode="0.0x"/>
    <x:numFmt numFmtId="208" formatCode="0.000x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9"/>
      <x:color rgb="FF6B7280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i/>
      <x:sz val="11"/>
      <x:color rgb="FF6B7280"/>
      <x:name val="Carlito"/>
    </x:font>
    <x:font>
      <x:b/>
      <x:sz val="10"/>
      <x:color rgb="FFFFFF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9"/>
      <x:color rgb="FFFFFFFF"/>
      <x:name val="Carlito"/>
    </x:font>
    <x:font>
      <x:b/>
      <x:sz val="15"/>
      <x:color rgb="FF008000"/>
      <x:name val="Carlito"/>
    </x:font>
    <x:font>
      <x:b/>
      <x:sz val="15"/>
      <x:color rgb="FF000000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6FA"/>
      </x:patternFill>
    </x:fill>
    <x:fill>
      <x:patternFill patternType="solid">
        <x:fgColor rgb="FFD9E2F3"/>
      </x:patternFill>
    </x:fill>
    <x:fill>
      <x:patternFill patternType="solid">
        <x:fgColor rgb="FF132A4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18">
    <x:border/>
    <x:border/>
    <x:border>
      <x:bottom style="thin">
        <x:color rgb="FF808080"/>
      </x:bottom>
    </x:border>
    <x:border>
      <x:bottom style="thin">
        <x:color rgb="FF808080"/>
      </x:bottom>
    </x:border>
    <x:border>
      <x:top style="thin">
        <x:color rgb="FF000000"/>
      </x:top>
    </x:border>
    <x:border>
      <x:top style="thin">
        <x:color rgb="FF000000"/>
      </x:top>
    </x:border>
    <x:border>
      <x:top style="medium">
        <x:color rgb="FF000000"/>
      </x:top>
    </x:border>
    <x:border>
      <x:top style="medium">
        <x:color rgb="FF000000"/>
      </x:top>
    </x:border>
    <x:border>
      <x:left style="thin">
        <x:color rgb="FFB0B0B0"/>
      </x:left>
    </x:border>
    <x:border>
      <x:right style="thin">
        <x:color rgb="FFB0B0B0"/>
      </x:right>
    </x:border>
    <x:border>
      <x:left style="thin">
        <x:color rgb="FFB0B0B0"/>
      </x:left>
      <x:bottom style="thin">
        <x:color rgb="FFB0B0B0"/>
      </x:bottom>
    </x:border>
    <x:border>
      <x:bottom style="thin">
        <x:color rgb="FFB0B0B0"/>
      </x:bottom>
    </x:border>
    <x:border>
      <x:right style="thin">
        <x:color rgb="FFB0B0B0"/>
      </x:right>
      <x:bottom style="thin">
        <x:color rgb="FFB0B0B0"/>
      </x:bottom>
    </x:border>
    <x:border>
      <x:left style="thin">
        <x:color rgb="FFB0B0B0"/>
      </x:left>
    </x:border>
    <x:border>
      <x:right style="thin">
        <x:color rgb="FFB0B0B0"/>
      </x:right>
    </x:border>
    <x:border>
      <x:left style="thin">
        <x:color rgb="FFB0B0B0"/>
      </x:left>
      <x:bottom style="thin">
        <x:color rgb="FFB0B0B0"/>
      </x:bottom>
    </x:border>
    <x:border>
      <x:bottom style="thin">
        <x:color rgb="FFB0B0B0"/>
      </x:bottom>
    </x:border>
    <x:border>
      <x:right style="thin">
        <x:color rgb="FFB0B0B0"/>
      </x:right>
      <x:bottom style="thin">
        <x:color rgb="FFB0B0B0"/>
      </x:bottom>
    </x:border>
  </x:borders>
  <x:cellStyleXfs count="1">
    <x:xf numFmtId="0" fontId="0" fillId="0" borderId="0"/>
  </x:cellStyleXfs>
  <x:cellXfs count="2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0" fontId="4" fillId="0" borderId="1" xfId="0" applyNumberFormat="1" applyFont="1" applyFill="1" applyBorder="1"/>
    <x:xf numFmtId="203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5" fontId="4" fillId="0" borderId="0" xfId="0" applyNumberFormat="1" applyFont="1" applyFill="1" applyBorder="1"/>
    <x:xf numFmtId="205" fontId="7" fillId="0" borderId="0" xfId="0" applyNumberFormat="1" applyFont="1" applyFill="1" applyBorder="1"/>
    <x:xf numFmtId="205" fontId="4" fillId="0" borderId="1" xfId="0" applyNumberFormat="1" applyFont="1" applyFill="1" applyBorder="1"/>
    <x:xf numFmtId="205" fontId="7" fillId="0" borderId="1" xfId="0" applyNumberFormat="1" applyFont="1" applyFill="1" applyBorder="1"/>
    <x:xf numFmtId="0" fontId="0" fillId="0" borderId="4" xfId="0" applyNumberFormat="1" applyFont="1" applyFill="1" applyBorder="1"/>
    <x:xf numFmtId="200" fontId="7" fillId="0" borderId="4" xfId="0" applyNumberFormat="1" applyFont="1" applyFill="1" applyBorder="1"/>
    <x:xf numFmtId="203" fontId="7" fillId="0" borderId="4" xfId="0" applyNumberFormat="1" applyFont="1" applyFill="1" applyBorder="1"/>
    <x:xf numFmtId="0" fontId="7" fillId="0" borderId="4" xfId="0" applyNumberFormat="1" applyFont="1" applyFill="1" applyBorder="1"/>
    <x:xf numFmtId="0" fontId="0" fillId="0" borderId="5" xfId="0" applyNumberFormat="1" applyFont="1" applyFill="1" applyBorder="1"/>
    <x:xf numFmtId="200" fontId="7" fillId="0" borderId="5" xfId="0" applyNumberFormat="1" applyFont="1" applyFill="1" applyBorder="1"/>
    <x:xf numFmtId="203" fontId="7" fillId="0" borderId="5" xfId="0" applyNumberFormat="1" applyFont="1" applyFill="1" applyBorder="1"/>
    <x:xf numFmtId="0" fontId="7" fillId="0" borderId="5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200" fontId="4" fillId="6" borderId="0" xfId="0" applyNumberFormat="1" applyFont="1" applyFill="1" applyBorder="1"/>
    <x:xf numFmtId="200" fontId="4" fillId="6" borderId="1" xfId="0" applyNumberFormat="1" applyFont="1" applyFill="1" applyBorder="1"/>
    <x:xf numFmtId="206" fontId="4" fillId="6" borderId="0" xfId="0" applyNumberFormat="1" applyFont="1" applyFill="1" applyBorder="1"/>
    <x:xf numFmtId="206" fontId="4" fillId="6" borderId="1" xfId="0" applyNumberFormat="1" applyFont="1" applyFill="1" applyBorder="1"/>
    <x:xf numFmtId="205" fontId="4" fillId="6" borderId="0" xfId="0" applyNumberFormat="1" applyFont="1" applyFill="1" applyBorder="1"/>
    <x:xf numFmtId="205" fontId="4" fillId="6" borderId="1" xfId="0" applyNumberFormat="1" applyFont="1" applyFill="1" applyBorder="1"/>
    <x:xf numFmtId="207" fontId="4" fillId="6" borderId="0" xfId="0" applyNumberFormat="1" applyFont="1" applyFill="1" applyBorder="1"/>
    <x:xf numFmtId="207" fontId="4" fillId="6" borderId="1" xfId="0" applyNumberFormat="1" applyFont="1" applyFill="1" applyBorder="1"/>
    <x:xf numFmtId="202" fontId="4" fillId="6" borderId="0" xfId="0" applyNumberFormat="1" applyFont="1" applyFill="1" applyBorder="1"/>
    <x:xf numFmtId="202" fontId="4" fillId="6" borderId="1" xfId="0" applyNumberFormat="1" applyFont="1" applyFill="1" applyBorder="1"/>
    <x:xf numFmtId="0" fontId="0" fillId="7" borderId="0" xfId="0" applyNumberFormat="1" applyFont="1" applyFill="1" applyBorder="1"/>
    <x:xf numFmtId="203" fontId="7" fillId="7" borderId="0" xfId="0" applyNumberFormat="1" applyFont="1" applyFill="1" applyBorder="1"/>
    <x:xf numFmtId="0" fontId="3" fillId="7" borderId="0" xfId="0" applyNumberFormat="1" applyFont="1" applyFill="1" applyBorder="1"/>
    <x:xf numFmtId="203" fontId="3" fillId="7" borderId="0" xfId="0" applyNumberFormat="1" applyFont="1" applyFill="1" applyBorder="1"/>
    <x:xf numFmtId="0" fontId="0" fillId="7" borderId="1" xfId="0" applyNumberFormat="1" applyFont="1" applyFill="1" applyBorder="1"/>
    <x:xf numFmtId="203" fontId="7" fillId="7" borderId="1" xfId="0" applyNumberFormat="1" applyFont="1" applyFill="1" applyBorder="1"/>
    <x:xf numFmtId="0" fontId="3" fillId="7" borderId="1" xfId="0" applyNumberFormat="1" applyFont="1" applyFill="1" applyBorder="1"/>
    <x:xf numFmtId="203" fontId="3" fillId="7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3" fontId="8" fillId="0" borderId="0" xfId="0" applyNumberFormat="1" applyFont="1" applyFill="1" applyBorder="1"/>
    <x:xf numFmtId="203" fontId="8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203" fontId="4" fillId="6" borderId="0" xfId="0" applyNumberFormat="1" applyFont="1" applyFill="1" applyBorder="1"/>
    <x:xf numFmtId="203" fontId="4" fillId="6" borderId="1" xfId="0" applyNumberFormat="1" applyFont="1" applyFill="1" applyBorder="1"/>
    <x:xf numFmtId="206" fontId="7" fillId="0" borderId="0" xfId="0" applyNumberFormat="1" applyFont="1" applyFill="1" applyBorder="1"/>
    <x:xf numFmtId="206" fontId="7" fillId="0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205" fontId="7" fillId="6" borderId="0" xfId="0" applyNumberFormat="1" applyFont="1" applyFill="1" applyBorder="1"/>
    <x:xf numFmtId="205" fontId="7" fillId="6" borderId="1" xfId="0" applyNumberFormat="1" applyFont="1" applyFill="1" applyBorder="1"/>
    <x:xf numFmtId="203" fontId="7" fillId="6" borderId="0" xfId="0" applyNumberFormat="1" applyFont="1" applyFill="1" applyBorder="1"/>
    <x:xf numFmtId="203" fontId="7" fillId="6" borderId="1" xfId="0" applyNumberFormat="1" applyFont="1" applyFill="1" applyBorder="1"/>
    <x:xf numFmtId="207" fontId="7" fillId="6" borderId="0" xfId="0" applyNumberFormat="1" applyFont="1" applyFill="1" applyBorder="1"/>
    <x:xf numFmtId="207" fontId="7" fillId="6" borderId="1" xfId="0" applyNumberFormat="1" applyFont="1" applyFill="1" applyBorder="1"/>
    <x:xf numFmtId="0" fontId="3" fillId="7" borderId="6" xfId="0" applyNumberFormat="1" applyFont="1" applyFill="1" applyBorder="1"/>
    <x:xf numFmtId="203" fontId="3" fillId="7" borderId="6" xfId="0" applyNumberFormat="1" applyFont="1" applyFill="1" applyBorder="1"/>
    <x:xf numFmtId="0" fontId="3" fillId="7" borderId="7" xfId="0" applyNumberFormat="1" applyFont="1" applyFill="1" applyBorder="1"/>
    <x:xf numFmtId="203" fontId="3" fillId="7" borderId="7" xfId="0" applyNumberFormat="1" applyFont="1" applyFill="1" applyBorder="1"/>
    <x:xf numFmtId="205" fontId="8" fillId="0" borderId="0" xfId="0" applyNumberFormat="1" applyFont="1" applyFill="1" applyBorder="1"/>
    <x:xf numFmtId="205" fontId="8" fillId="0" borderId="1" xfId="0" applyNumberFormat="1" applyFont="1" applyFill="1" applyBorder="1"/>
    <x:xf numFmtId="202" fontId="7" fillId="6" borderId="0" xfId="0" applyNumberFormat="1" applyFont="1" applyFill="1" applyBorder="1"/>
    <x:xf numFmtId="202" fontId="7" fillId="6" borderId="1" xfId="0" applyNumberFormat="1" applyFont="1" applyFill="1" applyBorder="1"/>
    <x:xf numFmtId="208" fontId="7" fillId="0" borderId="0" xfId="0" applyNumberFormat="1" applyFont="1" applyFill="1" applyBorder="1"/>
    <x:xf numFmtId="208" fontId="7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7" fontId="4" fillId="0" borderId="0" xfId="0" applyNumberFormat="1" applyFont="1" applyFill="1" applyBorder="1"/>
    <x:xf numFmtId="207" fontId="4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8" xfId="0" applyNumberFormat="1" applyFont="1" applyFill="1" applyBorder="1"/>
    <x:xf numFmtId="0" fontId="10" fillId="8" borderId="9" xfId="0" applyNumberFormat="1" applyFont="1" applyFill="1" applyBorder="1"/>
    <x:xf numFmtId="0" fontId="10" fillId="8" borderId="10" xfId="0" applyNumberFormat="1" applyFont="1" applyFill="1" applyBorder="1"/>
    <x:xf numFmtId="0" fontId="10" fillId="8" borderId="11" xfId="0" applyNumberFormat="1" applyFont="1" applyFill="1" applyBorder="1"/>
    <x:xf numFmtId="0" fontId="10" fillId="8" borderId="12" xfId="0" applyNumberFormat="1" applyFont="1" applyFill="1" applyBorder="1"/>
    <x:xf numFmtId="0" fontId="10" fillId="8" borderId="8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0" fontId="10" fillId="8" borderId="9" xfId="0" applyNumberFormat="1" applyFont="1" applyFill="1" applyBorder="1" applyAlignment="1">
      <x:alignment horizontal="center"/>
    </x:xf>
    <x:xf numFmtId="0" fontId="10" fillId="8" borderId="10" xfId="0" applyNumberFormat="1" applyFont="1" applyFill="1" applyBorder="1" applyAlignment="1">
      <x:alignment horizontal="center"/>
    </x:xf>
    <x:xf numFmtId="0" fontId="10" fillId="8" borderId="11" xfId="0" applyNumberFormat="1" applyFont="1" applyFill="1" applyBorder="1" applyAlignment="1">
      <x:alignment horizontal="center"/>
    </x:xf>
    <x:xf numFmtId="0" fontId="10" fillId="8" borderId="12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10" fillId="8" borderId="9" xfId="0" applyNumberFormat="1" applyFont="1" applyFill="1" applyBorder="1" applyAlignment="1">
      <x:alignment horizontal="center" vertical="center"/>
    </x:xf>
    <x:xf numFmtId="0" fontId="10" fillId="8" borderId="10" xfId="0" applyNumberFormat="1" applyFont="1" applyFill="1" applyBorder="1" applyAlignment="1">
      <x:alignment horizontal="center" vertical="center"/>
    </x:xf>
    <x:xf numFmtId="0" fontId="10" fillId="8" borderId="11" xfId="0" applyNumberFormat="1" applyFont="1" applyFill="1" applyBorder="1" applyAlignment="1">
      <x:alignment horizontal="center" vertical="center"/>
    </x:xf>
    <x:xf numFmtId="0" fontId="10" fillId="8" borderId="12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3" xfId="0" applyNumberFormat="1" applyFont="1" applyFill="1" applyBorder="1"/>
    <x:xf numFmtId="0" fontId="10" fillId="8" borderId="14" xfId="0" applyNumberFormat="1" applyFont="1" applyFill="1" applyBorder="1"/>
    <x:xf numFmtId="0" fontId="10" fillId="8" borderId="15" xfId="0" applyNumberFormat="1" applyFont="1" applyFill="1" applyBorder="1"/>
    <x:xf numFmtId="0" fontId="10" fillId="8" borderId="16" xfId="0" applyNumberFormat="1" applyFont="1" applyFill="1" applyBorder="1"/>
    <x:xf numFmtId="0" fontId="10" fillId="8" borderId="17" xfId="0" applyNumberFormat="1" applyFont="1" applyFill="1" applyBorder="1"/>
    <x:xf numFmtId="0" fontId="10" fillId="8" borderId="13" xfId="0" applyNumberFormat="1" applyFont="1" applyFill="1" applyBorder="1" applyAlignment="1">
      <x:alignment horizontal="center"/>
    </x:xf>
    <x:xf numFmtId="0" fontId="10" fillId="8" borderId="1" xfId="0" applyNumberFormat="1" applyFont="1" applyFill="1" applyBorder="1" applyAlignment="1">
      <x:alignment horizontal="center"/>
    </x:xf>
    <x:xf numFmtId="0" fontId="10" fillId="8" borderId="14" xfId="0" applyNumberFormat="1" applyFont="1" applyFill="1" applyBorder="1" applyAlignment="1">
      <x:alignment horizontal="center"/>
    </x:xf>
    <x:xf numFmtId="0" fontId="10" fillId="8" borderId="15" xfId="0" applyNumberFormat="1" applyFont="1" applyFill="1" applyBorder="1" applyAlignment="1">
      <x:alignment horizontal="center"/>
    </x:xf>
    <x:xf numFmtId="0" fontId="10" fillId="8" borderId="16" xfId="0" applyNumberFormat="1" applyFont="1" applyFill="1" applyBorder="1" applyAlignment="1">
      <x:alignment horizontal="center"/>
    </x:xf>
    <x:xf numFmtId="0" fontId="10" fillId="8" borderId="17" xfId="0" applyNumberFormat="1" applyFont="1" applyFill="1" applyBorder="1" applyAlignment="1">
      <x:alignment horizontal="center"/>
    </x:xf>
    <x:xf numFmtId="0" fontId="10" fillId="8" borderId="13" xfId="0" applyNumberFormat="1" applyFont="1" applyFill="1" applyBorder="1" applyAlignment="1">
      <x:alignment horizontal="center" vertical="center"/>
    </x:xf>
    <x:xf numFmtId="0" fontId="10" fillId="8" borderId="1" xfId="0" applyNumberFormat="1" applyFont="1" applyFill="1" applyBorder="1" applyAlignment="1">
      <x:alignment horizontal="center" vertical="center"/>
    </x:xf>
    <x:xf numFmtId="0" fontId="10" fillId="8" borderId="14" xfId="0" applyNumberFormat="1" applyFont="1" applyFill="1" applyBorder="1" applyAlignment="1">
      <x:alignment horizontal="center" vertical="center"/>
    </x:xf>
    <x:xf numFmtId="0" fontId="10" fillId="8" borderId="15" xfId="0" applyNumberFormat="1" applyFont="1" applyFill="1" applyBorder="1" applyAlignment="1">
      <x:alignment horizontal="center" vertical="center"/>
    </x:xf>
    <x:xf numFmtId="0" fontId="10" fillId="8" borderId="16" xfId="0" applyNumberFormat="1" applyFont="1" applyFill="1" applyBorder="1" applyAlignment="1">
      <x:alignment horizontal="center" vertical="center"/>
    </x:xf>
    <x:xf numFmtId="0" fontId="10" fillId="8" borderId="17" xfId="0" applyNumberFormat="1" applyFont="1" applyFill="1" applyBorder="1" applyAlignment="1">
      <x:alignment horizontal="center" vertical="center"/>
    </x:xf>
    <x:xf numFmtId="203" fontId="10" fillId="8" borderId="8" xfId="0" applyNumberFormat="1" applyFont="1" applyFill="1" applyBorder="1" applyAlignment="1">
      <x:alignment horizontal="center" vertical="center"/>
    </x:xf>
    <x:xf numFmtId="203" fontId="10" fillId="8" borderId="13" xfId="0" applyNumberFormat="1" applyFont="1" applyFill="1" applyBorder="1" applyAlignment="1">
      <x:alignment horizontal="center" vertical="center"/>
    </x:xf>
    <x:xf numFmtId="205" fontId="10" fillId="8" borderId="8" xfId="0" applyNumberFormat="1" applyFont="1" applyFill="1" applyBorder="1" applyAlignment="1">
      <x:alignment horizontal="center" vertical="center"/>
    </x:xf>
    <x:xf numFmtId="205" fontId="10" fillId="8" borderId="13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11" xfId="0" applyNumberFormat="1" applyFont="1" applyFill="1" applyBorder="1"/>
    <x:xf numFmtId="0" fontId="11" fillId="8" borderId="12" xfId="0" applyNumberFormat="1" applyFont="1" applyFill="1" applyBorder="1"/>
    <x:xf numFmtId="0" fontId="11" fillId="8" borderId="8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 applyAlignment="1">
      <x:alignment horizontal="center"/>
    </x:xf>
    <x:xf numFmtId="0" fontId="11" fillId="8" borderId="9" xfId="0" applyNumberFormat="1" applyFont="1" applyFill="1" applyBorder="1" applyAlignment="1">
      <x:alignment horizontal="center"/>
    </x:xf>
    <x:xf numFmtId="0" fontId="11" fillId="8" borderId="10" xfId="0" applyNumberFormat="1" applyFont="1" applyFill="1" applyBorder="1" applyAlignment="1">
      <x:alignment horizontal="center"/>
    </x:xf>
    <x:xf numFmtId="0" fontId="11" fillId="8" borderId="11" xfId="0" applyNumberFormat="1" applyFont="1" applyFill="1" applyBorder="1" applyAlignment="1">
      <x:alignment horizontal="center"/>
    </x:xf>
    <x:xf numFmtId="0" fontId="11" fillId="8" borderId="12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horizontal="center" vertical="center"/>
    </x:xf>
    <x:xf numFmtId="0" fontId="11" fillId="8" borderId="9" xfId="0" applyNumberFormat="1" applyFont="1" applyFill="1" applyBorder="1" applyAlignment="1">
      <x:alignment horizontal="center" vertical="center"/>
    </x:xf>
    <x:xf numFmtId="0" fontId="11" fillId="8" borderId="10" xfId="0" applyNumberFormat="1" applyFont="1" applyFill="1" applyBorder="1" applyAlignment="1">
      <x:alignment horizontal="center" vertical="center"/>
    </x:xf>
    <x:xf numFmtId="0" fontId="11" fillId="8" borderId="11" xfId="0" applyNumberFormat="1" applyFont="1" applyFill="1" applyBorder="1" applyAlignment="1">
      <x:alignment horizontal="center" vertical="center"/>
    </x:xf>
    <x:xf numFmtId="0" fontId="11" fillId="8" borderId="12" xfId="0" applyNumberFormat="1" applyFont="1" applyFill="1" applyBorder="1" applyAlignment="1">
      <x:alignment horizontal="center" vertical="center"/>
    </x:xf>
    <x:xf numFmtId="0" fontId="11" fillId="8" borderId="1" xfId="0" applyNumberFormat="1" applyFont="1" applyFill="1" applyBorder="1"/>
    <x:xf numFmtId="0" fontId="11" fillId="8" borderId="13" xfId="0" applyNumberFormat="1" applyFont="1" applyFill="1" applyBorder="1"/>
    <x:xf numFmtId="0" fontId="11" fillId="8" borderId="14" xfId="0" applyNumberFormat="1" applyFont="1" applyFill="1" applyBorder="1"/>
    <x:xf numFmtId="0" fontId="11" fillId="8" borderId="15" xfId="0" applyNumberFormat="1" applyFont="1" applyFill="1" applyBorder="1"/>
    <x:xf numFmtId="0" fontId="11" fillId="8" borderId="16" xfId="0" applyNumberFormat="1" applyFont="1" applyFill="1" applyBorder="1"/>
    <x:xf numFmtId="0" fontId="11" fillId="8" borderId="17" xfId="0" applyNumberFormat="1" applyFont="1" applyFill="1" applyBorder="1"/>
    <x:xf numFmtId="0" fontId="11" fillId="8" borderId="13" xfId="0" applyNumberFormat="1" applyFont="1" applyFill="1" applyBorder="1" applyAlignment="1">
      <x:alignment horizontal="center"/>
    </x:xf>
    <x:xf numFmtId="0" fontId="11" fillId="8" borderId="1" xfId="0" applyNumberFormat="1" applyFont="1" applyFill="1" applyBorder="1" applyAlignment="1">
      <x:alignment horizontal="center"/>
    </x:xf>
    <x:xf numFmtId="0" fontId="11" fillId="8" borderId="14" xfId="0" applyNumberFormat="1" applyFont="1" applyFill="1" applyBorder="1" applyAlignment="1">
      <x:alignment horizontal="center"/>
    </x:xf>
    <x:xf numFmtId="0" fontId="11" fillId="8" borderId="15" xfId="0" applyNumberFormat="1" applyFont="1" applyFill="1" applyBorder="1" applyAlignment="1">
      <x:alignment horizontal="center"/>
    </x:xf>
    <x:xf numFmtId="0" fontId="11" fillId="8" borderId="16" xfId="0" applyNumberFormat="1" applyFont="1" applyFill="1" applyBorder="1" applyAlignment="1">
      <x:alignment horizontal="center"/>
    </x:xf>
    <x:xf numFmtId="0" fontId="11" fillId="8" borderId="17" xfId="0" applyNumberFormat="1" applyFont="1" applyFill="1" applyBorder="1" applyAlignment="1">
      <x:alignment horizontal="center"/>
    </x:xf>
    <x:xf numFmtId="0" fontId="11" fillId="8" borderId="13" xfId="0" applyNumberFormat="1" applyFont="1" applyFill="1" applyBorder="1" applyAlignment="1">
      <x:alignment horizontal="center" vertical="center"/>
    </x:xf>
    <x:xf numFmtId="0" fontId="11" fillId="8" borderId="1" xfId="0" applyNumberFormat="1" applyFont="1" applyFill="1" applyBorder="1" applyAlignment="1">
      <x:alignment horizontal="center" vertical="center"/>
    </x:xf>
    <x:xf numFmtId="0" fontId="11" fillId="8" borderId="14" xfId="0" applyNumberFormat="1" applyFont="1" applyFill="1" applyBorder="1" applyAlignment="1">
      <x:alignment horizontal="center" vertical="center"/>
    </x:xf>
    <x:xf numFmtId="0" fontId="11" fillId="8" borderId="15" xfId="0" applyNumberFormat="1" applyFont="1" applyFill="1" applyBorder="1" applyAlignment="1">
      <x:alignment horizontal="center" vertical="center"/>
    </x:xf>
    <x:xf numFmtId="0" fontId="11" fillId="8" borderId="16" xfId="0" applyNumberFormat="1" applyFont="1" applyFill="1" applyBorder="1" applyAlignment="1">
      <x:alignment horizontal="center" vertical="center"/>
    </x:xf>
    <x:xf numFmtId="0" fontId="11" fillId="8" borderId="17" xfId="0" applyNumberFormat="1" applyFont="1" applyFill="1" applyBorder="1" applyAlignment="1">
      <x:alignment horizontal="center" vertical="center"/>
    </x:xf>
    <x:xf numFmtId="203" fontId="8" fillId="7" borderId="0" xfId="0" applyNumberFormat="1" applyFont="1" applyFill="1" applyBorder="1"/>
    <x:xf numFmtId="203" fontId="8" fillId="7" borderId="1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200" fontId="8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dd3c35b434eaa" /><Relationship Type="http://schemas.openxmlformats.org/officeDocument/2006/relationships/theme" Target="/xl/theme/theme1.xml" Id="Re43a4ecba6994d97" /><Relationship Type="http://schemas.openxmlformats.org/officeDocument/2006/relationships/sharedStrings" Target="/xl/sharedStrings.xml" Id="Rd9e348fa4d4f4faf" /><Relationship Type="http://schemas.openxmlformats.org/officeDocument/2006/relationships/worksheet" Target="/xl/worksheets/sheet1.xml" Id="R95aaa850a5274138" /><Relationship Type="http://schemas.openxmlformats.org/officeDocument/2006/relationships/worksheet" Target="/xl/worksheets/sheet2.xml" Id="R972eb7d9f382484b" /><Relationship Type="http://schemas.openxmlformats.org/officeDocument/2006/relationships/worksheet" Target="/xl/worksheets/sheet3.xml" Id="R493cae3e84e94bb5" /><Relationship Type="http://schemas.openxmlformats.org/officeDocument/2006/relationships/worksheet" Target="/xl/worksheets/sheet4.xml" Id="R48c6f67c1cec40e8" /><Relationship Type="http://schemas.openxmlformats.org/officeDocument/2006/relationships/worksheet" Target="/xl/worksheets/sheet5.xml" Id="R3ba2ce67cd8b49ad" /><Relationship Type="http://schemas.openxmlformats.org/officeDocument/2006/relationships/worksheet" Target="/xl/worksheets/sheet6.xml" Id="R916fbbde4fa14990" /><Relationship Type="http://schemas.openxmlformats.org/officeDocument/2006/relationships/worksheet" Target="/xl/worksheets/sheet7.xml" Id="R46abfae84a8f4851" /><Relationship Type="http://schemas.openxmlformats.org/officeDocument/2006/relationships/worksheet" Target="/xl/worksheets/sheet8.xml" Id="R9ad286d243734fdf" /><Relationship Type="http://schemas.openxmlformats.org/officeDocument/2006/relationships/worksheet" Target="/xl/worksheets/sheet9.xml" Id="R2dd9b06d4fb0497c" /><Relationship Type="http://schemas.openxmlformats.org/officeDocument/2006/relationships/worksheet" Target="/xl/worksheets/sheet10.xml" Id="R04d47cbe36b94f06" /><Relationship Type="http://schemas.openxmlformats.org/officeDocument/2006/relationships/worksheet" Target="/xl/worksheets/sheet11.xml" Id="R4e752665606a44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1372f67e2a4fef" /><Relationship Type="http://schemas.openxmlformats.org/officeDocument/2006/relationships/chart" Target="/xl/drawings/charts/chart2.xml" Id="R2ea501f031204d2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'Dashboard'!$P$17:$Y$17</c:f>
              <c:strCache>
                <c:ptCount val="0"/>
              </c:strCache>
            </c:strRef>
          </c:cat>
          <c:val>
            <c:numRef>
              <c:f>'Dashboard'!$P$18:$Y$18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Adjusted EBITDA</c:v>
          </c:tx>
          <c:cat>
            <c:strRef>
              <c:f>'Dashboard'!$P$17:$Y$17</c:f>
              <c:strCache>
                <c:ptCount val="0"/>
              </c:strCache>
            </c:strRef>
          </c:cat>
          <c:val>
            <c:numRef>
              <c:f>'Dashboard'!$P$19:$Y$19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MW</c:v>
          </c:tx>
          <c:cat>
            <c:strRef>
              <c:f>'Dashboard'!$P$22:$Y$22</c:f>
              <c:strCache>
                <c:ptCount val="0"/>
              </c:strCache>
            </c:strRef>
          </c:cat>
          <c:val>
            <c:numRef>
              <c:f>'Dashboard'!$P$23:$Y$23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1372f67e2a4fef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a501f031204d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4c07e37a1941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18" hidden="0" customWidth="1"/>
    <x:col min="4" max="4" width="59" hidden="0" customWidth="1"/>
    <x:col min="5" max="5" width="68" hidden="0" customWidth="1"/>
    <x:col min="6" max="6" width="12" hidden="0" customWidth="1"/>
  </x:cols>
  <x:sheetData>
    <x:row r="1" ht="28" customHeight="1">
      <x:c r="A1" s="4" t="str">
        <x:v>Core Scientific (CORZ) Full Valuation — Source Register</x:v>
      </x:c>
      <x:c r="B1" s="4"/>
      <x:c r="C1" s="4"/>
      <x:c r="D1" s="4"/>
      <x:c r="E1" s="4"/>
      <x:c r="F1" s="4"/>
    </x:row>
    <x:row r="2" ht="28" customHeight="1">
      <x:c r="A2" s="10" t="str">
        <x:v>Model date: 7 Aug 2026. Q2 2026 results and the post-quarter AMD/Neocloud leases are incorporated.</x:v>
      </x:c>
      <x:c r="B2" s="10"/>
      <x:c r="C2" s="10"/>
      <x:c r="D2" s="10"/>
      <x:c r="E2" s="10"/>
      <x:c r="F2" s="10"/>
    </x:row>
    <x:row r="4">
      <x:c r="A4" s="19" t="str">
        <x:v>ID</x:v>
      </x:c>
      <x:c r="B4" s="19" t="str">
        <x:v>Source / date</x:v>
      </x:c>
      <x:c r="C4" s="19" t="str">
        <x:v>Type</x:v>
      </x:c>
      <x:c r="D4" s="19" t="str">
        <x:v>Key facts used</x:v>
      </x:c>
      <x:c r="E4" s="19" t="str">
        <x:v>URL</x:v>
      </x:c>
      <x:c r="F4" s="19" t="str">
        <x:v>Quality</x:v>
      </x:c>
    </x:row>
    <x:row r="5">
      <x:c r="A5" s="26" t="str">
        <x:v>S1</x:v>
      </x:c>
      <x:c r="B5" s="26" t="str">
        <x:v>Core Scientific Q2 2026 Results — Jul 28, 2026</x:v>
      </x:c>
      <x:c r="C5" s="26" t="str">
        <x:v>Company IR</x:v>
      </x:c>
      <x:c r="D5" s="26" t="str">
        <x:v>Q2 revenue/EBITDA/capex/liquidity; 1.1GW leased; $24B+ potential contracted revenue; 437MW billing / $635M annualized colocation revenue; balance sheet</x:v>
      </x:c>
      <x:c r="E5" s="26" t="str">
        <x:v>https://investors.corescientific.com/news-events/press-releases/detail/139/core-scientific-announces-second-quarter-2026-results</x:v>
      </x:c>
      <x:c r="F5" s="26" t="str">
        <x:v>Primary</x:v>
      </x:c>
    </x:row>
    <x:row r="6">
      <x:c r="A6" s="26" t="str">
        <x:v>S2</x:v>
      </x:c>
      <x:c r="B6" s="26" t="str">
        <x:v>Core Scientific Q2 2026 Form 10-Q — Jul 28, 2026</x:v>
      </x:c>
      <x:c r="C6" s="26" t="str">
        <x:v>SEC / company filing</x:v>
      </x:c>
      <x:c r="D6" s="26" t="str">
        <x:v>Shares, debt, warrants, convert dilution, customer concentration, AMD/Neocloud subsequent leases, H1 capex, segment revenue/cost</x:v>
      </x:c>
      <x:c r="E6" s="26" t="str">
        <x:v>https://investors.corescientific.com/sec-filings/all-sec-filings/content/0001839341-26-000014/core-20260630.htm</x:v>
      </x:c>
      <x:c r="F6" s="26" t="str">
        <x:v>Primary</x:v>
      </x:c>
    </x:row>
    <x:row r="7">
      <x:c r="A7" s="26" t="str">
        <x:v>S3</x:v>
      </x:c>
      <x:c r="B7" s="26" t="str">
        <x:v>Q1 2026 Earnings Presentation — May 6, 2026</x:v>
      </x:c>
      <x:c r="C7" s="26" t="str">
        <x:v>Company / SEC exhibit</x:v>
      </x:c>
      <x:c r="D7" s="26" t="str">
        <x:v>CoreWeave 590MW, ~$850M annual revenue, 80-85% anticipated profit margin; ~3GW additional leasable pipeline; $11M/MW build economics; 80% project-finance illustration</x:v>
      </x:c>
      <x:c r="E7" s="26" t="str">
        <x:v>https://investors.corescientific.com/sec-filings/all-sec-filings/content/0001628280-26-031246/q1fy26earningsdeck.htm</x:v>
      </x:c>
      <x:c r="F7" s="26" t="str">
        <x:v>Primary</x:v>
      </x:c>
    </x:row>
    <x:row r="8">
      <x:c r="A8" s="26" t="str">
        <x:v>S4</x:v>
      </x:c>
      <x:c r="B8" s="26" t="str">
        <x:v>CORZ MarketWatch Quote — Aug 7, 2026</x:v>
      </x:c>
      <x:c r="C8" s="26" t="str">
        <x:v>Market data</x:v>
      </x:c>
      <x:c r="D8" s="26" t="str">
        <x:v>$21.16 real-time quote; basic market cap ~$6.76B; 321.34M shares outstanding</x:v>
      </x:c>
      <x:c r="E8" s="26" t="str">
        <x:v>https://www.marketwatch.com/investing/stock/corz</x:v>
      </x:c>
      <x:c r="F8" s="26" t="str">
        <x:v>High</x:v>
      </x:c>
    </x:row>
    <x:row r="9">
      <x:c r="A9" s="26" t="str">
        <x:v>S5</x:v>
      </x:c>
      <x:c r="B9" s="26" t="str">
        <x:v>Equinix EV/EBITDA — Jul 27, 2026</x:v>
      </x:c>
      <x:c r="C9" s="26" t="str">
        <x:v>FinanceCharts</x:v>
      </x:c>
      <x:c r="D9" s="26" t="str">
        <x:v>EQIX current EV/EBITDA ~27.2x, mature data-center context only</x:v>
      </x:c>
      <x:c r="E9" s="26" t="str">
        <x:v>https://www.financecharts.com/stocks/EQIX/value/ev-to-ebitda-averages</x:v>
      </x:c>
      <x:c r="F9" s="26" t="str">
        <x:v>Secondary</x:v>
      </x:c>
    </x:row>
    <x:row r="10">
      <x:c r="A10" s="26" t="str">
        <x:v>S6</x:v>
      </x:c>
      <x:c r="B10" s="26" t="str">
        <x:v>Digital Realty Virginia transaction — Jun 29, 2026</x:v>
      </x:c>
      <x:c r="C10" s="26" t="str">
        <x:v>Reuters</x:v>
      </x:c>
      <x:c r="D10" s="26" t="str">
        <x:v>Three AI data centers valued at $7.8B including debt/planned capex; mature hyperscale asset context</x:v>
      </x:c>
      <x:c r="E10" s="26" t="str">
        <x:v>https://www.reuters.com/legal/transactional/digital-realty-buy-blackstones-data-center-stake-deal-valuing-assets-78-billion-2026-06-29/</x:v>
      </x:c>
      <x:c r="F10" s="26" t="str">
        <x:v>High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2" hidden="0" customWidth="1"/>
  </x:cols>
  <x:sheetData>
    <x:row r="1" ht="28" customHeight="1">
      <x:c r="A1" s="4" t="str">
        <x:v>Historical / Q2 2026 Snapshot</x:v>
      </x:c>
      <x:c r="B1" s="4"/>
      <x:c r="C1" s="4"/>
      <x:c r="D1" s="4"/>
      <x:c r="E1" s="4"/>
      <x:c r="F1" s="4"/>
      <x:c r="G1" s="4"/>
    </x:row>
    <x:row r="2" ht="28" customHeight="1">
      <x:c r="A2" s="10" t="str">
        <x:v>USD $mm unless stated. GAAP net loss is heavily affected by warrant fair-value changes and is not a useful normalized operating metric.</x:v>
      </x:c>
      <x:c r="B2" s="10"/>
      <x:c r="C2" s="10"/>
      <x:c r="D2" s="10"/>
      <x:c r="E2" s="10"/>
      <x:c r="F2" s="10"/>
      <x:c r="G2" s="10"/>
    </x:row>
    <x:row r="4">
      <x:c r="A4" s="19" t="str">
        <x:v>Metric</x:v>
      </x:c>
      <x:c r="B4" s="19" t="str">
        <x:v>Q2 2025A</x:v>
      </x:c>
      <x:c r="C4" s="19" t="str">
        <x:v>Q1 2026A</x:v>
      </x:c>
      <x:c r="D4" s="19" t="str">
        <x:v>Q2 2026A</x:v>
      </x:c>
      <x:c r="E4" s="19" t="str">
        <x:v>H1 2026A</x:v>
      </x:c>
      <x:c r="F4" s="19" t="str">
        <x:v>Jun-26 / Latest</x:v>
      </x:c>
      <x:c r="G4" s="19" t="str">
        <x:v>Source</x:v>
      </x:c>
    </x:row>
    <x:row r="5">
      <x:c r="A5" t="str">
        <x:v>Billing customer power (MW)</x:v>
      </x:c>
      <x:c r="B5" s="36"/>
      <x:c r="C5" s="36" t="n">
        <x:v>225</x:v>
      </x:c>
      <x:c r="D5" s="36" t="n">
        <x:v>395</x:v>
      </x:c>
      <x:c r="E5" s="36"/>
      <x:c r="F5" s="36" t="n">
        <x:v>437</x:v>
      </x:c>
      <x:c r="G5" s="46" t="str">
        <x:v>S1</x:v>
      </x:c>
    </x:row>
    <x:row r="6">
      <x:c r="A6" t="str">
        <x:v>Colocation revenue</x:v>
      </x:c>
      <x:c r="B6" s="37" t="n">
        <x:v>10.6</x:v>
      </x:c>
      <x:c r="C6" s="37" t="n">
        <x:v>77.5</x:v>
      </x:c>
      <x:c r="D6" s="37" t="n">
        <x:v>136.7</x:v>
      </x:c>
      <x:c r="E6" s="37" t="n">
        <x:v>214.2</x:v>
      </x:c>
      <x:c r="F6" s="37"/>
      <x:c r="G6" s="46" t="str">
        <x:v>S1/S2</x:v>
      </x:c>
    </x:row>
    <x:row r="7">
      <x:c r="A7" t="str">
        <x:v>Self-mining revenue</x:v>
      </x:c>
      <x:c r="B7" s="37" t="n">
        <x:v>62.4</x:v>
      </x:c>
      <x:c r="C7" s="37" t="n">
        <x:v>30.1</x:v>
      </x:c>
      <x:c r="D7" s="37" t="n">
        <x:v>21.5</x:v>
      </x:c>
      <x:c r="E7" s="37" t="n">
        <x:v>51.6</x:v>
      </x:c>
      <x:c r="F7" s="37"/>
      <x:c r="G7" s="46" t="str">
        <x:v>S2</x:v>
      </x:c>
    </x:row>
    <x:row r="8">
      <x:c r="A8" t="str">
        <x:v>Hosted-mining revenue</x:v>
      </x:c>
      <x:c r="B8" s="37" t="n">
        <x:v>5.6</x:v>
      </x:c>
      <x:c r="C8" s="37" t="n">
        <x:v>7.6</x:v>
      </x:c>
      <x:c r="D8" s="37" t="n">
        <x:v>6</x:v>
      </x:c>
      <x:c r="E8" s="37" t="n">
        <x:v>13.6</x:v>
      </x:c>
      <x:c r="F8" s="37"/>
      <x:c r="G8" s="46" t="str">
        <x:v>S2</x:v>
      </x:c>
    </x:row>
    <x:row r="9">
      <x:c r="A9" t="str">
        <x:v>Total revenue</x:v>
      </x:c>
      <x:c r="B9" s="37" t="n">
        <x:v>78.6</x:v>
      </x:c>
      <x:c r="C9" s="37" t="n">
        <x:v>115.2</x:v>
      </x:c>
      <x:c r="D9" s="37" t="n">
        <x:v>164.2</x:v>
      </x:c>
      <x:c r="E9" s="37" t="n">
        <x:v>279.4</x:v>
      </x:c>
      <x:c r="F9" s="37"/>
      <x:c r="G9" s="46" t="str">
        <x:v>S1/S2</x:v>
      </x:c>
    </x:row>
    <x:row r="10">
      <x:c r="A10" t="str">
        <x:v>Gross profit</x:v>
      </x:c>
      <x:c r="B10" s="37" t="n">
        <x:v>5</x:v>
      </x:c>
      <x:c r="C10" s="37" t="n">
        <x:v>30.1</x:v>
      </x:c>
      <x:c r="D10" s="37" t="n">
        <x:v>70</x:v>
      </x:c>
      <x:c r="E10" s="37"/>
      <x:c r="F10" s="37"/>
      <x:c r="G10" s="46" t="str">
        <x:v>S1</x:v>
      </x:c>
    </x:row>
    <x:row r="11">
      <x:c r="A11" t="str">
        <x:v>Adjusted EBITDA</x:v>
      </x:c>
      <x:c r="B11" s="37" t="n">
        <x:v>28.5</x:v>
      </x:c>
      <x:c r="C11" s="37" t="n">
        <x:v>8.9</x:v>
      </x:c>
      <x:c r="D11" s="37" t="n">
        <x:v>41.1</x:v>
      </x:c>
      <x:c r="E11" s="37" t="n">
        <x:v>50</x:v>
      </x:c>
      <x:c r="F11" s="37"/>
      <x:c r="G11" s="46" t="str">
        <x:v>S1/S2</x:v>
      </x:c>
    </x:row>
    <x:row r="12">
      <x:c r="A12" t="str">
        <x:v>Capex</x:v>
      </x:c>
      <x:c r="B12" s="37" t="n">
        <x:v>121.3</x:v>
      </x:c>
      <x:c r="C12" s="37" t="n">
        <x:v>389.2</x:v>
      </x:c>
      <x:c r="D12" s="37" t="n">
        <x:v>797.5</x:v>
      </x:c>
      <x:c r="E12" s="37" t="n">
        <x:v>1186.7</x:v>
      </x:c>
      <x:c r="F12" s="37"/>
      <x:c r="G12" s="46" t="str">
        <x:v>S1</x:v>
      </x:c>
    </x:row>
    <x:row r="13">
      <x:c r="A13" t="str">
        <x:v>H1 PP&amp;E capex</x:v>
      </x:c>
      <x:c r="B13" s="37"/>
      <x:c r="C13" s="37"/>
      <x:c r="D13" s="37"/>
      <x:c r="E13" s="37" t="n">
        <x:v>954.2</x:v>
      </x:c>
      <x:c r="F13" s="37"/>
      <x:c r="G13" s="46" t="str">
        <x:v>S2</x:v>
      </x:c>
    </x:row>
    <x:row r="14">
      <x:c r="A14" t="str">
        <x:v>CoreWeave-funded H1 PP&amp;E capex</x:v>
      </x:c>
      <x:c r="B14" s="37"/>
      <x:c r="C14" s="37"/>
      <x:c r="D14" s="37"/>
      <x:c r="E14" s="37" t="n">
        <x:v>180.9</x:v>
      </x:c>
      <x:c r="F14" s="37"/>
      <x:c r="G14" s="46" t="str">
        <x:v>S2</x:v>
      </x:c>
    </x:row>
    <x:row r="15">
      <x:c r="A15" t="str">
        <x:v>Cash</x:v>
      </x:c>
      <x:c r="B15" s="37"/>
      <x:c r="C15" s="37"/>
      <x:c r="D15" s="37"/>
      <x:c r="E15" s="37"/>
      <x:c r="F15" s="37" t="n">
        <x:v>1769.735</x:v>
      </x:c>
      <x:c r="G15" s="46" t="str">
        <x:v>S1</x:v>
      </x:c>
    </x:row>
    <x:row r="16">
      <x:c r="A16" t="str">
        <x:v>Digital assets</x:v>
      </x:c>
      <x:c r="B16" s="37"/>
      <x:c r="C16" s="37"/>
      <x:c r="D16" s="37"/>
      <x:c r="E16" s="37"/>
      <x:c r="F16" s="37" t="n">
        <x:v>49.675</x:v>
      </x:c>
      <x:c r="G16" s="46" t="str">
        <x:v>S1</x:v>
      </x:c>
    </x:row>
    <x:row r="17">
      <x:c r="A17" t="str">
        <x:v>Liquidity (cash + digital assets)</x:v>
      </x:c>
      <x:c r="B17" s="37"/>
      <x:c r="C17" s="37"/>
      <x:c r="D17" s="37"/>
      <x:c r="E17" s="37"/>
      <x:c r="F17" s="37" t="n">
        <x:v>1819.41</x:v>
      </x:c>
      <x:c r="G17" s="46" t="str">
        <x:v>S1</x:v>
      </x:c>
    </x:row>
    <x:row r="18">
      <x:c r="A18" t="str">
        <x:v>Restricted cash — current</x:v>
      </x:c>
      <x:c r="B18" s="37"/>
      <x:c r="C18" s="37"/>
      <x:c r="D18" s="37"/>
      <x:c r="E18" s="37"/>
      <x:c r="F18" s="37" t="n">
        <x:v>165.745</x:v>
      </x:c>
      <x:c r="G18" s="46" t="str">
        <x:v>S1</x:v>
      </x:c>
    </x:row>
    <x:row r="19">
      <x:c r="A19" t="str">
        <x:v>Restricted cash — non-current</x:v>
      </x:c>
      <x:c r="B19" s="37"/>
      <x:c r="C19" s="37"/>
      <x:c r="D19" s="37"/>
      <x:c r="E19" s="37"/>
      <x:c r="F19" s="37" t="n">
        <x:v>615.911</x:v>
      </x:c>
      <x:c r="G19" s="46" t="str">
        <x:v>S1</x:v>
      </x:c>
    </x:row>
    <x:row r="20">
      <x:c r="A20" t="str">
        <x:v>PP&amp;E, net</x:v>
      </x:c>
      <x:c r="B20" s="37"/>
      <x:c r="C20" s="37"/>
      <x:c r="D20" s="37"/>
      <x:c r="E20" s="37"/>
      <x:c r="F20" s="37" t="n">
        <x:v>1774.142</x:v>
      </x:c>
      <x:c r="G20" s="46" t="str">
        <x:v>S1</x:v>
      </x:c>
    </x:row>
    <x:row r="21">
      <x:c r="A21" t="str">
        <x:v>Debt carrying value</x:v>
      </x:c>
      <x:c r="B21" s="37"/>
      <x:c r="C21" s="37"/>
      <x:c r="D21" s="37"/>
      <x:c r="E21" s="37"/>
      <x:c r="F21" s="37" t="n">
        <x:v>4297.967</x:v>
      </x:c>
      <x:c r="G21" s="46" t="str">
        <x:v>S1</x:v>
      </x:c>
    </x:row>
    <x:row r="22">
      <x:c r="A22" t="str">
        <x:v>Debt principal</x:v>
      </x:c>
      <x:c r="B22" s="37"/>
      <x:c r="C22" s="37"/>
      <x:c r="D22" s="37"/>
      <x:c r="E22" s="37"/>
      <x:c r="F22" s="37" t="n">
        <x:v>4385</x:v>
      </x:c>
      <x:c r="G22" s="46" t="str">
        <x:v>S2</x:v>
      </x:c>
    </x:row>
    <x:row r="23">
      <x:c r="A23" t="str">
        <x:v>Deferred revenue — current</x:v>
      </x:c>
      <x:c r="B23" s="37"/>
      <x:c r="C23" s="37"/>
      <x:c r="D23" s="37"/>
      <x:c r="E23" s="37"/>
      <x:c r="F23" s="37" t="n">
        <x:v>287.201</x:v>
      </x:c>
      <x:c r="G23" s="46" t="str">
        <x:v>S1</x:v>
      </x:c>
    </x:row>
    <x:row r="24">
      <x:c r="A24" t="str">
        <x:v>Deferred revenue — non-current</x:v>
      </x:c>
      <x:c r="B24" s="37"/>
      <x:c r="C24" s="37"/>
      <x:c r="D24" s="37"/>
      <x:c r="E24" s="37"/>
      <x:c r="F24" s="37" t="n">
        <x:v>367.242</x:v>
      </x:c>
      <x:c r="G24" s="46" t="str">
        <x:v>S1</x:v>
      </x:c>
    </x:row>
    <x:row r="25">
      <x:c r="A25" t="str">
        <x:v>Common shares outstanding (mm)</x:v>
      </x:c>
      <x:c r="B25" s="38"/>
      <x:c r="C25" s="38"/>
      <x:c r="D25" s="38"/>
      <x:c r="E25" s="38"/>
      <x:c r="F25" s="38" t="n">
        <x:v>321.340441</x:v>
      </x:c>
      <x:c r="G25" s="46" t="str">
        <x:v>S2</x:v>
      </x:c>
    </x:row>
    <x:row r="26">
      <x:c r="A26" t="str">
        <x:v>Tranche 1 warrants — $6.81 (mm)</x:v>
      </x:c>
      <x:c r="B26" s="38"/>
      <x:c r="C26" s="38"/>
      <x:c r="D26" s="38"/>
      <x:c r="E26" s="38"/>
      <x:c r="F26" s="38" t="n">
        <x:v>96.4</x:v>
      </x:c>
      <x:c r="G26" s="46" t="str">
        <x:v>S2</x:v>
      </x:c>
    </x:row>
    <x:row r="27">
      <x:c r="A27" t="str">
        <x:v>Tranche 2 warrants — $0.01 (mm)</x:v>
      </x:c>
      <x:c r="B27" s="38"/>
      <x:c r="C27" s="38"/>
      <x:c r="D27" s="38"/>
      <x:c r="E27" s="38"/>
      <x:c r="F27" s="38" t="n">
        <x:v>6.6</x:v>
      </x:c>
      <x:c r="G27" s="46" t="str">
        <x:v>S2</x:v>
      </x:c>
    </x:row>
    <x:row r="28">
      <x:c r="A28" t="str">
        <x:v>RSUs/PSUs/MSUs dilutive reference (mm)</x:v>
      </x:c>
      <x:c r="B28" s="38"/>
      <x:c r="C28" s="38"/>
      <x:c r="D28" s="38"/>
      <x:c r="E28" s="38"/>
      <x:c r="F28" s="38" t="n">
        <x:v>16.408</x:v>
      </x:c>
      <x:c r="G28" s="46" t="str">
        <x:v>S2</x:v>
      </x:c>
    </x:row>
    <x:row r="29">
      <x:c r="A29" t="str">
        <x:v>Stock options dilutive reference (mm)</x:v>
      </x:c>
      <x:c r="B29" s="38"/>
      <x:c r="C29" s="38"/>
      <x:c r="D29" s="38"/>
      <x:c r="E29" s="38"/>
      <x:c r="F29" s="38" t="n">
        <x:v>0.334</x:v>
      </x:c>
      <x:c r="G29" s="46" t="str">
        <x:v>S2</x:v>
      </x:c>
    </x:row>
    <x:row r="30">
      <x:c r="A30" t="str">
        <x:v>Convertible-note share reference (mm)</x:v>
      </x:c>
      <x:c r="B30" s="38"/>
      <x:c r="C30" s="38"/>
      <x:c r="D30" s="38"/>
      <x:c r="E30" s="38"/>
      <x:c r="F30" s="38" t="n">
        <x:v>69.611</x:v>
      </x:c>
      <x:c r="G30" s="46" t="str">
        <x:v>S2</x:v>
      </x:c>
    </x:row>
    <x:row r="31">
      <x:c r="A31" t="str">
        <x:v>AMD warrant — up to shares (mm)</x:v>
      </x:c>
      <x:c r="B31" s="38"/>
      <x:c r="C31" s="38"/>
      <x:c r="D31" s="38"/>
      <x:c r="E31" s="38"/>
      <x:c r="F31" s="38" t="n">
        <x:v>30</x:v>
      </x:c>
      <x:c r="G31" s="46" t="str">
        <x:v>S2</x:v>
      </x:c>
    </x:row>
    <x:row r="32">
      <x:c r="A32" t="str">
        <x:v>Current price ($)</x:v>
      </x:c>
      <x:c r="B32" s="39"/>
      <x:c r="C32" s="39"/>
      <x:c r="D32" s="39"/>
      <x:c r="E32" s="39"/>
      <x:c r="F32" s="40" t="n">
        <x:v>21.16</x:v>
      </x:c>
      <x:c r="G32" s="46" t="str">
        <x:v>S4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21" hidden="0" customWidth="1"/>
    <x:col min="4" max="4" width="13" hidden="0" customWidth="1"/>
    <x:col min="5" max="5" width="22" hidden="0" customWidth="1"/>
    <x:col min="6" max="6" width="16" hidden="0" customWidth="1"/>
    <x:col min="7" max="7" width="22" hidden="0" customWidth="1"/>
    <x:col min="8" max="8" width="16" hidden="0" customWidth="1"/>
  </x:cols>
  <x:sheetData>
    <x:row r="1" ht="28" customHeight="1">
      <x:c r="A1" s="4" t="str">
        <x:v>Contracted HDC Economics &amp; Pipeline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CoreWeave economics are company-disclosed. AMD/Neocloud annual revenue is derived from $14B+ / 15 years; project margin is an explicit scenario assumption.</x:v>
      </x:c>
      <x:c r="B2" s="10"/>
      <x:c r="C2" s="10"/>
      <x:c r="D2" s="10"/>
      <x:c r="E2" s="10"/>
      <x:c r="F2" s="10"/>
      <x:c r="G2" s="10"/>
      <x:c r="H2" s="10"/>
    </x:row>
    <x:row r="4">
      <x:c r="A4" s="49" t="str">
        <x:v>Contracted Capacity</x:v>
      </x:c>
      <x:c r="B4" s="49" t="str">
        <x:v>Contracted Capacity</x:v>
      </x:c>
      <x:c r="C4" s="49" t="str">
        <x:v>Contracted Capacity</x:v>
      </x:c>
      <x:c r="D4" s="49" t="str">
        <x:v>Contracted Capacity</x:v>
      </x:c>
      <x:c r="E4" s="49" t="str">
        <x:v>Contracted Capacity</x:v>
      </x:c>
      <x:c r="F4" s="49" t="str">
        <x:v>Contracted Capacity</x:v>
      </x:c>
      <x:c r="G4" s="49" t="str">
        <x:v>Contracted Capacity</x:v>
      </x:c>
      <x:c r="H4" s="49" t="str">
        <x:v>Contracted Capacity</x:v>
      </x:c>
    </x:row>
    <x:row r="5">
      <x:c r="A5" s="19" t="str">
        <x:v>Customer / group</x:v>
      </x:c>
      <x:c r="B5" s="19" t="str">
        <x:v>Leased MW</x:v>
      </x:c>
      <x:c r="C5" s="19" t="str">
        <x:v>Base contracted revenue ($bn)</x:v>
      </x:c>
      <x:c r="D5" s="19" t="str">
        <x:v>Initial term</x:v>
      </x:c>
      <x:c r="E5" s="19" t="str">
        <x:v>Avg annual revenue ($bn)</x:v>
      </x:c>
      <x:c r="F5" s="19" t="str">
        <x:v>Profit/NOI margin</x:v>
      </x:c>
      <x:c r="G5" s="19" t="str">
        <x:v>Annual stabilized NOI ($bn)</x:v>
      </x:c>
      <x:c r="H5" s="19" t="str">
        <x:v>Source</x:v>
      </x:c>
    </x:row>
    <x:row r="6">
      <x:c r="A6" t="str">
        <x:v>CoreWeave</x:v>
      </x:c>
      <x:c r="B6" s="36" t="n">
        <x:v>590</x:v>
      </x:c>
      <x:c r="C6" s="40" t="n">
        <x:v>10</x:v>
      </x:c>
      <x:c r="D6" s="58" t="n">
        <x:v>12</x:v>
      </x:c>
      <x:c r="E6" s="40" t="n">
        <x:v>0.85</x:v>
      </x:c>
      <x:c r="F6" s="60" t="n">
        <x:v>0.825</x:v>
      </x:c>
      <x:c r="G6" s="34" t="n">
        <x:f>E6*F6</x:f>
        <x:v>0.7012499999999999</x:v>
      </x:c>
      <x:c r="H6" t="str">
        <x:v>S3</x:v>
      </x:c>
    </x:row>
    <x:row r="7">
      <x:c r="A7" t="str">
        <x:v>AMD + Neocloud</x:v>
      </x:c>
      <x:c r="B7" s="36" t="n">
        <x:v>529</x:v>
      </x:c>
      <x:c r="C7" s="40" t="n">
        <x:v>14</x:v>
      </x:c>
      <x:c r="D7" s="58" t="n">
        <x:v>15</x:v>
      </x:c>
      <x:c r="E7" s="56" t="n">
        <x:f>C7/D7</x:f>
        <x:v>0.9333333333333333</x:v>
      </x:c>
      <x:c r="F7" s="61" t="n">
        <x:v>0.78</x:v>
      </x:c>
      <x:c r="G7" s="56" t="n">
        <x:f>E7*F7</x:f>
        <x:v>0.7280000000000001</x:v>
      </x:c>
      <x:c r="H7" t="str">
        <x:v>S1/S2</x:v>
      </x:c>
    </x:row>
    <x:row r="8">
      <x:c r="A8" s="64" t="str">
        <x:v>Total / blended</x:v>
      </x:c>
      <x:c r="B8" s="65" t="n">
        <x:f>SUM(B6:B7)</x:f>
        <x:v>1119</x:v>
      </x:c>
      <x:c r="C8" s="66" t="n">
        <x:f>SUM(C6:C7)</x:f>
        <x:v>24</x:v>
      </x:c>
      <x:c r="D8" s="67"/>
      <x:c r="E8" s="66" t="n">
        <x:f>SUM(E6:E7)</x:f>
        <x:v>1.7833333333333332</x:v>
      </x:c>
      <x:c r="F8" s="67"/>
      <x:c r="G8" s="66" t="n">
        <x:f>SUM(G6:G7)</x:f>
        <x:v>1.4292500000000001</x:v>
      </x:c>
      <x:c r="H8" s="64"/>
    </x:row>
    <x:row r="11">
      <x:c r="A11" s="49" t="str">
        <x:v>Contract / Capacity Facts</x:v>
      </x:c>
      <x:c r="B11" s="49" t="str">
        <x:v>Contract / Capacity Facts</x:v>
      </x:c>
      <x:c r="C11" s="49" t="str">
        <x:v>Contract / Capacity Facts</x:v>
      </x:c>
      <x:c r="D11" s="49" t="str">
        <x:v>Contract / Capacity Facts</x:v>
      </x:c>
      <x:c r="E11" s="49" t="str">
        <x:v>Contract / Capacity Facts</x:v>
      </x:c>
      <x:c r="F11" s="49" t="str">
        <x:v>Contract / Capacity Facts</x:v>
      </x:c>
      <x:c r="G11" s="49" t="str">
        <x:v>Contract / Capacity Facts</x:v>
      </x:c>
      <x:c r="H11" s="49" t="str">
        <x:v>Contract / Capacity Facts</x:v>
      </x:c>
    </x:row>
    <x:row r="12">
      <x:c r="A12" s="19" t="str">
        <x:v>Item</x:v>
      </x:c>
      <x:c r="B12" s="19" t="str">
        <x:v>Value</x:v>
      </x:c>
      <x:c r="C12" s="19" t="str">
        <x:v>Interpretation</x:v>
      </x:c>
      <x:c r="D12" s="19" t="str">
        <x:v>Source</x:v>
      </x:c>
    </x:row>
    <x:row r="13">
      <x:c r="A13" s="26" t="str">
        <x:v>Total leased customer power</x:v>
      </x:c>
      <x:c r="B13" s="26" t="str">
        <x:v>~1.1 GW</x:v>
      </x:c>
      <x:c r="C13" s="26" t="str">
        <x:v>CoreWeave + AMD/Neocloud</x:v>
      </x:c>
      <x:c r="D13" s="26" t="str">
        <x:v>S1</x:v>
      </x:c>
    </x:row>
    <x:row r="14">
      <x:c r="A14" s="26" t="str">
        <x:v>Potential contracted revenue</x:v>
      </x:c>
      <x:c r="B14" s="26" t="str">
        <x:v>&gt;$24B</x:v>
      </x:c>
      <x:c r="C14" s="26" t="str">
        <x:v>Across signed leases</x:v>
      </x:c>
      <x:c r="D14" s="26" t="str">
        <x:v>S1</x:v>
      </x:c>
    </x:row>
    <x:row r="15">
      <x:c r="A15" s="26" t="str">
        <x:v>CoreWeave leased</x:v>
      </x:c>
      <x:c r="B15" s="26" t="str">
        <x:v>590 MW</x:v>
      </x:c>
      <x:c r="C15" s="26" t="str">
        <x:v>~$850M avg annual GAAP colocation revenue</x:v>
      </x:c>
      <x:c r="D15" s="26" t="str">
        <x:v>S3</x:v>
      </x:c>
    </x:row>
    <x:row r="16">
      <x:c r="A16" s="26" t="str">
        <x:v>CoreWeave anticipated profit margin</x:v>
      </x:c>
      <x:c r="B16" s="26" t="str">
        <x:v>80–85%</x:v>
      </x:c>
      <x:c r="C16" s="26" t="str">
        <x:v>Company-disclosed contract summary</x:v>
      </x:c>
      <x:c r="D16" s="26" t="str">
        <x:v>S3</x:v>
      </x:c>
    </x:row>
    <x:row r="17">
      <x:c r="A17" s="26" t="str">
        <x:v>AMD direct leases</x:v>
      </x:c>
      <x:c r="B17" s="26" t="str">
        <x:v>377 MW</x:v>
      </x:c>
      <x:c r="C17" s="26" t="str">
        <x:v>Pecos, Muskogee, Hunt County</x:v>
      </x:c>
      <x:c r="D17" s="26" t="str">
        <x:v>S2</x:v>
      </x:c>
    </x:row>
    <x:row r="18">
      <x:c r="A18" s="26" t="str">
        <x:v>Neocloud leases</x:v>
      </x:c>
      <x:c r="B18" s="26" t="str">
        <x:v>152 MW</x:v>
      </x:c>
      <x:c r="C18" s="26" t="str">
        <x:v>Auburn, Dalton Phase 3; AMD credit support</x:v>
      </x:c>
      <x:c r="D18" s="26" t="str">
        <x:v>S2</x:v>
      </x:c>
    </x:row>
    <x:row r="19">
      <x:c r="A19" s="26" t="str">
        <x:v>AMD additional reservation right</x:v>
      </x:c>
      <x:c r="B19" s="26" t="str">
        <x:v>1,925 MW</x:v>
      </x:c>
      <x:c r="C19" s="26" t="str">
        <x:v>Optional / conditional through Dec 28 2028</x:v>
      </x:c>
      <x:c r="D19" s="26" t="str">
        <x:v>S2</x:v>
      </x:c>
    </x:row>
    <x:row r="20">
      <x:c r="A20" s="26" t="str">
        <x:v>Additional pipeline reference</x:v>
      </x:c>
      <x:c r="B20" s="26" t="str">
        <x:v>~3.0 GW</x:v>
      </x:c>
      <x:c r="C20" s="26" t="str">
        <x:v>Q1 presentation; excludes ~590MW already contracted</x:v>
      </x:c>
      <x:c r="D20" s="26" t="str">
        <x:v>S3</x:v>
      </x:c>
    </x:row>
    <x:row r="21">
      <x:c r="A21" s="26" t="str">
        <x:v>Current leased vs billable gap</x:v>
      </x:c>
      <x:c r="B21" s="26" t="str">
        <x:v>~590MW leased / 395MW billed at Jun 30</x:v>
      </x:c>
      <x:c r="C21" s="26" t="str">
        <x:v>Near-term CoreWeave ramp</x:v>
      </x:c>
      <x:c r="D21" s="26" t="str">
        <x:v>S2</x:v>
      </x:c>
    </x:row>
    <x:row r="24">
      <x:c r="A24" s="49" t="str">
        <x:v>Pipeline Option Assumptions</x:v>
      </x:c>
      <x:c r="B24" s="49" t="str">
        <x:v>Pipeline Option Assumptions</x:v>
      </x:c>
      <x:c r="C24" s="49" t="str">
        <x:v>Pipeline Option Assumptions</x:v>
      </x:c>
      <x:c r="D24" s="49" t="str">
        <x:v>Pipeline Option Assumptions</x:v>
      </x:c>
      <x:c r="E24" s="49" t="str">
        <x:v>Pipeline Option Assumptions</x:v>
      </x:c>
      <x:c r="F24" s="49" t="str">
        <x:v>Pipeline Option Assumptions</x:v>
      </x:c>
      <x:c r="G24" s="49" t="str">
        <x:v>Pipeline Option Assumptions</x:v>
      </x:c>
      <x:c r="H24" s="49" t="str">
        <x:v>Pipeline Option Assumptions</x:v>
      </x:c>
    </x:row>
    <x:row r="25">
      <x:c r="A25" s="19" t="str">
        <x:v>Metric</x:v>
      </x:c>
      <x:c r="B25" s="19" t="str">
        <x:v>Bear</x:v>
      </x:c>
      <x:c r="C25" s="19" t="str">
        <x:v>Base</x:v>
      </x:c>
      <x:c r="D25" s="19" t="str">
        <x:v>Bull</x:v>
      </x:c>
    </x:row>
    <x:row r="26">
      <x:c r="A26" t="str">
        <x:v>Future newly leased MW by 2030</x:v>
      </x:c>
      <x:c r="B26" s="74" t="n">
        <x:v>300</x:v>
      </x:c>
      <x:c r="C26" s="74" t="n">
        <x:v>900</x:v>
      </x:c>
      <x:c r="D26" s="74" t="n">
        <x:v>1800</x:v>
      </x:c>
    </x:row>
    <x:row r="27">
      <x:c r="A27" t="str">
        <x:v>Annual revenue / MW ($mm)</x:v>
      </x:c>
      <x:c r="B27" s="76" t="n">
        <x:v>1.5</x:v>
      </x:c>
      <x:c r="C27" s="76" t="n">
        <x:v>1.65</x:v>
      </x:c>
      <x:c r="D27" s="76" t="n">
        <x:v>1.75</x:v>
      </x:c>
    </x:row>
    <x:row r="28">
      <x:c r="A28" t="str">
        <x:v>NOI margin</x:v>
      </x:c>
      <x:c r="B28" s="78" t="n">
        <x:v>0.7</x:v>
      </x:c>
      <x:c r="C28" s="78" t="n">
        <x:v>0.75</x:v>
      </x:c>
      <x:c r="D28" s="78" t="n">
        <x:v>0.8</x:v>
      </x:c>
    </x:row>
    <x:row r="29">
      <x:c r="A29" t="str">
        <x:v>Asset EV / NOI multiple</x:v>
      </x:c>
      <x:c r="B29" s="80" t="n">
        <x:v>10</x:v>
      </x:c>
      <x:c r="C29" s="80" t="n">
        <x:v>13</x:v>
      </x:c>
      <x:c r="D29" s="80" t="n">
        <x:v>16</x:v>
      </x:c>
    </x:row>
    <x:row r="30">
      <x:c r="A30" t="str">
        <x:v>Success probability</x:v>
      </x:c>
      <x:c r="B30" s="78" t="n">
        <x:v>0.3</x:v>
      </x:c>
      <x:c r="C30" s="78" t="n">
        <x:v>0.45</x:v>
      </x:c>
      <x:c r="D30" s="78" t="n">
        <x:v>0.6</x:v>
      </x:c>
    </x:row>
    <x:row r="31">
      <x:c r="A31" t="str">
        <x:v>Discount rate</x:v>
      </x:c>
      <x:c r="B31" s="78" t="n">
        <x:v>0.14</x:v>
      </x:c>
      <x:c r="C31" s="78" t="n">
        <x:v>0.115</x:v>
      </x:c>
      <x:c r="D31" s="78" t="n">
        <x:v>0.1</x:v>
      </x:c>
    </x:row>
    <x:row r="32">
      <x:c r="A32" t="str">
        <x:v>Years to PV</x:v>
      </x:c>
      <x:c r="B32" s="82" t="n">
        <x:v>4.4</x:v>
      </x:c>
      <x:c r="C32" s="82" t="n">
        <x:v>4.4</x:v>
      </x:c>
      <x:c r="D32" s="82" t="n">
        <x:v>4.4</x:v>
      </x:c>
    </x:row>
    <x:row r="33">
      <x:c r="A33" s="86" t="str">
        <x:v>Pipeline option PV ($bn)</x:v>
      </x:c>
      <x:c r="B33" s="87" t="n">
        <x:f>B26*B27*B28*B29*B30/1000/(1+B31)^B32</x:f>
        <x:v>0.5309461336657563</x:v>
      </x:c>
      <x:c r="C33" s="87" t="n">
        <x:f>C26*C27*C28*C29*C30/1000/(1+C31)^C32</x:f>
        <x:v>4.035842102427148</x:v>
      </x:c>
      <x:c r="D33" s="87" t="n">
        <x:f>D26*D27*D28*D29*D30/1000/(1+D31)^D32</x:f>
        <x:v>15.905376693025069</x:v>
      </x:c>
    </x:row>
  </x:sheetData>
  <x:mergeCells>
    <x:mergeCell ref="A1:H1"/>
    <x:mergeCell ref="A2:H2"/>
    <x:mergeCell ref="A4:H4"/>
    <x:mergeCell ref="A11:H11"/>
    <x:mergeCell ref="A24:H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4" t="str">
        <x:v>Capital Structure &amp; Dilution</x:v>
      </x:c>
      <x:c r="B1" s="4"/>
      <x:c r="C1" s="4"/>
      <x:c r="D1" s="4"/>
      <x:c r="E1" s="4"/>
    </x:row>
    <x:row r="2" ht="28" customHeight="1">
      <x:c r="A2" s="10" t="str">
        <x:v>The model separates debt-treatment and share-treatment to avoid double counting convertible notes. Base/Bull assume convertibles ultimately convert; Bear keeps more debt outstanding.</x:v>
      </x:c>
      <x:c r="B2" s="10"/>
      <x:c r="C2" s="10"/>
      <x:c r="D2" s="10"/>
      <x:c r="E2" s="10"/>
    </x:row>
    <x:row r="4">
      <x:c r="A4" s="19" t="str">
        <x:v>Metric</x:v>
      </x:c>
      <x:c r="B4" s="19" t="str">
        <x:v>Value</x:v>
      </x:c>
      <x:c r="C4" s="19" t="str">
        <x:v>Source / treatment</x:v>
      </x:c>
    </x:row>
    <x:row r="5">
      <x:c r="A5" t="str">
        <x:v>Liquidity: cash + digital assets ($bn)</x:v>
      </x:c>
      <x:c r="B5" s="94" t="n">
        <x:f>Historical!F17/1000</x:f>
        <x:v>1.81941</x:v>
      </x:c>
      <x:c r="C5" t="str">
        <x:v>S1</x:v>
      </x:c>
    </x:row>
    <x:row r="6">
      <x:c r="A6" t="str">
        <x:v>Debt principal ($bn)</x:v>
      </x:c>
      <x:c r="B6" s="94" t="n">
        <x:f>Historical!F22/1000</x:f>
        <x:v>4.385</x:v>
      </x:c>
      <x:c r="C6" t="str">
        <x:v>S2</x:v>
      </x:c>
    </x:row>
    <x:row r="7">
      <x:c r="A7" t="str">
        <x:v>Current net debt ($bn)</x:v>
      </x:c>
      <x:c r="B7" s="94" t="n">
        <x:f>B6-B5</x:f>
        <x:v>2.56559</x:v>
      </x:c>
      <x:c r="C7" t="str">
        <x:v>Calculated</x:v>
      </x:c>
    </x:row>
    <x:row r="8">
      <x:c r="A8" t="str">
        <x:v>Common shares (mm)</x:v>
      </x:c>
      <x:c r="B8" s="96" t="n">
        <x:f>Historical!F25</x:f>
        <x:v>321.340441</x:v>
      </x:c>
      <x:c r="C8" t="str">
        <x:v>S2</x:v>
      </x:c>
    </x:row>
    <x:row r="9">
      <x:c r="A9" t="str">
        <x:v>Tranche 1 warrants (mm)</x:v>
      </x:c>
      <x:c r="B9" s="96" t="n">
        <x:f>Historical!F26</x:f>
        <x:v>96.4</x:v>
      </x:c>
      <x:c r="C9" t="str">
        <x:v>S2</x:v>
      </x:c>
    </x:row>
    <x:row r="10">
      <x:c r="A10" t="str">
        <x:v>Tranche 2 warrants (mm)</x:v>
      </x:c>
      <x:c r="B10" s="96" t="n">
        <x:f>Historical!F27</x:f>
        <x:v>6.6</x:v>
      </x:c>
      <x:c r="C10" t="str">
        <x:v>S2</x:v>
      </x:c>
    </x:row>
    <x:row r="11">
      <x:c r="A11" t="str">
        <x:v>RSUs/PSUs/MSUs (mm)</x:v>
      </x:c>
      <x:c r="B11" s="96" t="n">
        <x:f>Historical!F28</x:f>
        <x:v>16.408</x:v>
      </x:c>
      <x:c r="C11" t="str">
        <x:v>S2</x:v>
      </x:c>
    </x:row>
    <x:row r="12">
      <x:c r="A12" t="str">
        <x:v>Stock options (mm)</x:v>
      </x:c>
      <x:c r="B12" s="96" t="n">
        <x:f>Historical!F29</x:f>
        <x:v>0.334</x:v>
      </x:c>
      <x:c r="C12" t="str">
        <x:v>S2</x:v>
      </x:c>
    </x:row>
    <x:row r="13">
      <x:c r="A13" t="str">
        <x:v>AMD warrant max shares (mm)</x:v>
      </x:c>
      <x:c r="B13" s="96" t="n">
        <x:f>Historical!F31</x:f>
        <x:v>30</x:v>
      </x:c>
      <x:c r="C13" t="str">
        <x:v>S2</x:v>
      </x:c>
    </x:row>
    <x:row r="14">
      <x:c r="A14" t="str">
        <x:v>Convertible share reference (mm)</x:v>
      </x:c>
      <x:c r="B14" s="96" t="n">
        <x:f>Historical!F30</x:f>
        <x:v>69.611</x:v>
      </x:c>
      <x:c r="C14" t="str">
        <x:v>S2</x:v>
      </x:c>
    </x:row>
    <x:row r="15">
      <x:c r="A15" t="str">
        <x:v>Non-convert diluted share count (mm)</x:v>
      </x:c>
      <x:c r="B15" s="96" t="n">
        <x:f>SUM(B8:B13)</x:f>
        <x:v>471.0824410000001</x:v>
      </x:c>
      <x:c r="C15" t="str">
        <x:v>Calculated</x:v>
      </x:c>
    </x:row>
    <x:row r="16">
      <x:c r="A16" t="str">
        <x:v>Full as-converted + AMD diluted shares (mm)</x:v>
      </x:c>
      <x:c r="B16" s="96" t="n">
        <x:f>B15+B14</x:f>
        <x:v>540.6934410000001</x:v>
      </x:c>
      <x:c r="C16" t="str">
        <x:v>Calculated</x:v>
      </x:c>
    </x:row>
    <x:row r="19">
      <x:c r="A19" s="49" t="str">
        <x:v>Stabilized Scenario Capital Structure</x:v>
      </x:c>
      <x:c r="B19" s="49" t="str">
        <x:v>Stabilized Scenario Capital Structure</x:v>
      </x:c>
      <x:c r="C19" s="49" t="str">
        <x:v>Stabilized Scenario Capital Structure</x:v>
      </x:c>
      <x:c r="D19" s="49" t="str">
        <x:v>Stabilized Scenario Capital Structure</x:v>
      </x:c>
    </x:row>
    <x:row r="20">
      <x:c r="A20" s="19" t="str">
        <x:v>Metric</x:v>
      </x:c>
      <x:c r="B20" s="19" t="str">
        <x:v>Bear</x:v>
      </x:c>
      <x:c r="C20" s="19" t="str">
        <x:v>Base</x:v>
      </x:c>
      <x:c r="D20" s="19" t="str">
        <x:v>Bull</x:v>
      </x:c>
    </x:row>
    <x:row r="21">
      <x:c r="A21" t="str">
        <x:v>Current net debt reference ($bn)</x:v>
      </x:c>
      <x:c r="B21" s="94" t="n">
        <x:f>$B$7</x:f>
        <x:v>2.56559</x:v>
      </x:c>
      <x:c r="C21" s="94" t="n">
        <x:f>$B$7</x:f>
        <x:v>2.56559</x:v>
      </x:c>
      <x:c r="D21" s="94" t="n">
        <x:f>$B$7</x:f>
        <x:v>2.56559</x:v>
      </x:c>
    </x:row>
    <x:row r="22">
      <x:c r="A22" t="str">
        <x:v>Convertible debt assumed converted ($bn)</x:v>
      </x:c>
      <x:c r="B22" s="98" t="n">
        <x:v>0.46</x:v>
      </x:c>
      <x:c r="C22" s="98" t="n">
        <x:v>1.085</x:v>
      </x:c>
      <x:c r="D22" s="98" t="n">
        <x:v>1.085</x:v>
      </x:c>
    </x:row>
    <x:row r="23">
      <x:c r="A23" t="str">
        <x:v>Incremental project net debt / cash need ($bn)</x:v>
      </x:c>
      <x:c r="B23" s="98" t="n">
        <x:v>4.5</x:v>
      </x:c>
      <x:c r="C23" s="98" t="n">
        <x:v>3</x:v>
      </x:c>
      <x:c r="D23" s="98" t="n">
        <x:v>2</x:v>
      </x:c>
    </x:row>
    <x:row r="24">
      <x:c r="A24" t="str">
        <x:v>Projected stabilized net debt ($bn)</x:v>
      </x:c>
      <x:c r="B24" s="56" t="n">
        <x:f>B21-B22+B23</x:f>
        <x:v>6.605589999999999</x:v>
      </x:c>
      <x:c r="C24" s="56" t="n">
        <x:f>C21-C22+C23</x:f>
        <x:v>4.480589999999999</x:v>
      </x:c>
      <x:c r="D24" s="56" t="n">
        <x:f>D21-D22+D23</x:f>
        <x:v>3.48059</x:v>
      </x:c>
    </x:row>
    <x:row r="25">
      <x:c r="A25" t="str">
        <x:v>Valuation shares (mm)</x:v>
      </x:c>
      <x:c r="B25" s="82" t="n">
        <x:v>490</x:v>
      </x:c>
      <x:c r="C25" s="82" t="n">
        <x:v>540</x:v>
      </x:c>
      <x:c r="D25" s="82" t="n">
        <x:v>555</x:v>
      </x:c>
    </x:row>
  </x:sheetData>
  <x:mergeCells>
    <x:mergeCell ref="A1:E1"/>
    <x:mergeCell ref="A2:E2"/>
    <x:mergeCell ref="A19:D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8" customHeight="1">
      <x:c r="A1" s="4" t="str">
        <x:v>2026–2035 Operating Forecast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10" t="str">
        <x:v>Revenue build separates CoreWeave, AMD/Neocloud, future pipeline and residual mining. The mining businesses are phased out as HDC becomes dominant.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9" t="str">
        <x:v>Metric</x:v>
      </x:c>
      <x:c r="B4" s="19" t="str">
        <x:v>2026E</x:v>
      </x:c>
      <x:c r="C4" s="19" t="str">
        <x:v>2027E</x:v>
      </x:c>
      <x:c r="D4" s="19" t="str">
        <x:v>2028E</x:v>
      </x:c>
      <x:c r="E4" s="19" t="str">
        <x:v>2029E</x:v>
      </x:c>
      <x:c r="F4" s="19" t="str">
        <x:v>2030E</x:v>
      </x:c>
      <x:c r="G4" s="19" t="str">
        <x:v>2031E</x:v>
      </x:c>
      <x:c r="H4" s="19" t="str">
        <x:v>2032E</x:v>
      </x:c>
      <x:c r="I4" s="19" t="str">
        <x:v>2033E</x:v>
      </x:c>
      <x:c r="J4" s="19" t="str">
        <x:v>2034E</x:v>
      </x:c>
      <x:c r="K4" s="19" t="str">
        <x:v>2035E</x:v>
      </x:c>
    </x:row>
    <x:row r="5">
      <x:c r="A5" s="49" t="str">
        <x:v>Bear Scenario</x:v>
      </x:c>
      <x:c r="B5" s="49" t="str">
        <x:v>Bear Scenario</x:v>
      </x:c>
      <x:c r="C5" s="49" t="str">
        <x:v>Bear Scenario</x:v>
      </x:c>
      <x:c r="D5" s="49" t="str">
        <x:v>Bear Scenario</x:v>
      </x:c>
      <x:c r="E5" s="49" t="str">
        <x:v>Bear Scenario</x:v>
      </x:c>
      <x:c r="F5" s="49" t="str">
        <x:v>Bear Scenario</x:v>
      </x:c>
      <x:c r="G5" s="49" t="str">
        <x:v>Bear Scenario</x:v>
      </x:c>
      <x:c r="H5" s="49" t="str">
        <x:v>Bear Scenario</x:v>
      </x:c>
      <x:c r="I5" s="49" t="str">
        <x:v>Bear Scenario</x:v>
      </x:c>
      <x:c r="J5" s="49" t="str">
        <x:v>Bear Scenario</x:v>
      </x:c>
      <x:c r="K5" s="49" t="str">
        <x:v>Bear Scenario</x:v>
      </x:c>
    </x:row>
    <x:row r="6">
      <x:c r="A6" t="str">
        <x:v>CoreWeave colocation revenue ($bn)</x:v>
      </x:c>
      <x:c r="B6" s="40" t="n">
        <x:v>0.52</x:v>
      </x:c>
      <x:c r="C6" s="40" t="n">
        <x:v>0.78</x:v>
      </x:c>
      <x:c r="D6" s="40" t="n">
        <x:v>0.85</x:v>
      </x:c>
      <x:c r="E6" s="40" t="n">
        <x:v>0.85</x:v>
      </x:c>
      <x:c r="F6" s="40" t="n">
        <x:v>0.85</x:v>
      </x:c>
      <x:c r="G6" s="40" t="n">
        <x:v>0.85</x:v>
      </x:c>
      <x:c r="H6" s="40" t="n">
        <x:v>0.85</x:v>
      </x:c>
      <x:c r="I6" s="40" t="n">
        <x:v>0.85</x:v>
      </x:c>
      <x:c r="J6" s="40" t="n">
        <x:v>0.85</x:v>
      </x:c>
      <x:c r="K6" s="40" t="n">
        <x:v>0.85</x:v>
      </x:c>
    </x:row>
    <x:row r="7">
      <x:c r="A7" t="str">
        <x:v>AMD/Neocloud colocation revenue ($bn)</x:v>
      </x:c>
      <x:c r="B7" s="40" t="n">
        <x:v>0</x:v>
      </x:c>
      <x:c r="C7" s="40" t="n">
        <x:v>0.1</x:v>
      </x:c>
      <x:c r="D7" s="40" t="n">
        <x:v>0.55</x:v>
      </x:c>
      <x:c r="E7" s="40" t="n">
        <x:v>0.8</x:v>
      </x:c>
      <x:c r="F7" s="40" t="n">
        <x:v>0.85</x:v>
      </x:c>
      <x:c r="G7" s="40" t="n">
        <x:v>0.85</x:v>
      </x:c>
      <x:c r="H7" s="40" t="n">
        <x:v>0.85</x:v>
      </x:c>
      <x:c r="I7" s="40" t="n">
        <x:v>0.85</x:v>
      </x:c>
      <x:c r="J7" s="40" t="n">
        <x:v>0.85</x:v>
      </x:c>
      <x:c r="K7" s="40" t="n">
        <x:v>0.85</x:v>
      </x:c>
    </x:row>
    <x:row r="8">
      <x:c r="A8" t="str">
        <x:v>New pipeline colocation revenue ($bn)</x:v>
      </x:c>
      <x:c r="B8" s="40" t="n">
        <x:v>0</x:v>
      </x:c>
      <x:c r="C8" s="40" t="n">
        <x:v>0</x:v>
      </x:c>
      <x:c r="D8" s="40" t="n">
        <x:v>0</x:v>
      </x:c>
      <x:c r="E8" s="40" t="n">
        <x:v>0.1</x:v>
      </x:c>
      <x:c r="F8" s="40" t="n">
        <x:v>0.2</x:v>
      </x:c>
      <x:c r="G8" s="40" t="n">
        <x:v>0.3</x:v>
      </x:c>
      <x:c r="H8" s="40" t="n">
        <x:v>0.4</x:v>
      </x:c>
      <x:c r="I8" s="40" t="n">
        <x:v>0.5</x:v>
      </x:c>
      <x:c r="J8" s="40" t="n">
        <x:v>0.6</x:v>
      </x:c>
      <x:c r="K8" s="40" t="n">
        <x:v>0.7</x:v>
      </x:c>
    </x:row>
    <x:row r="9">
      <x:c r="A9" t="str">
        <x:v>Mining / hosted residual revenue ($bn)</x:v>
      </x:c>
      <x:c r="B9" s="40" t="n">
        <x:v>0.13</x:v>
      </x:c>
      <x:c r="C9" s="40" t="n">
        <x:v>0.02</x:v>
      </x:c>
      <x:c r="D9" s="40" t="n">
        <x:v>0</x:v>
      </x:c>
      <x:c r="E9" s="40" t="n">
        <x:v>0</x:v>
      </x:c>
      <x:c r="F9" s="40" t="n">
        <x:v>0</x:v>
      </x:c>
      <x:c r="G9" s="40" t="n">
        <x:v>0</x:v>
      </x:c>
      <x:c r="H9" s="40" t="n">
        <x:v>0</x:v>
      </x:c>
      <x:c r="I9" s="40" t="n">
        <x:v>0</x:v>
      </x:c>
      <x:c r="J9" s="40" t="n">
        <x:v>0</x:v>
      </x:c>
      <x:c r="K9" s="40" t="n">
        <x:v>0</x:v>
      </x:c>
    </x:row>
    <x:row r="10">
      <x:c r="A10" t="str">
        <x:v>Total revenue ($bn)</x:v>
      </x:c>
      <x:c r="B10" s="56" t="n">
        <x:f>SUM(B6:B9)</x:f>
        <x:v>0.65</x:v>
      </x:c>
      <x:c r="C10" s="56" t="n">
        <x:f>SUM(C6:C9)</x:f>
        <x:v>0.9</x:v>
      </x:c>
      <x:c r="D10" s="56" t="n">
        <x:f>SUM(D6:D9)</x:f>
        <x:v>1.4</x:v>
      </x:c>
      <x:c r="E10" s="56" t="n">
        <x:f>SUM(E6:E9)</x:f>
        <x:v>1.75</x:v>
      </x:c>
      <x:c r="F10" s="56" t="n">
        <x:f>SUM(F6:F9)</x:f>
        <x:v>1.9</x:v>
      </x:c>
      <x:c r="G10" s="56" t="n">
        <x:f>SUM(G6:G9)</x:f>
        <x:v>2</x:v>
      </x:c>
      <x:c r="H10" s="56" t="n">
        <x:f>SUM(H6:H9)</x:f>
        <x:v>2.1</x:v>
      </x:c>
      <x:c r="I10" s="56" t="n">
        <x:f>SUM(I6:I9)</x:f>
        <x:v>2.2</x:v>
      </x:c>
      <x:c r="J10" s="56" t="n">
        <x:f>SUM(J6:J9)</x:f>
        <x:v>2.3</x:v>
      </x:c>
      <x:c r="K10" s="56" t="n">
        <x:f>SUM(K6:K9)</x:f>
        <x:v>2.4</x:v>
      </x:c>
    </x:row>
    <x:row r="11">
      <x:c r="A11" t="str">
        <x:v>YoY growth</x:v>
      </x:c>
      <x:c r="B11" s="61"/>
      <x:c r="C11" s="61" t="n">
        <x:f>C10/B10-1</x:f>
        <x:v>0.3846153846153846</x:v>
      </x:c>
      <x:c r="D11" s="61" t="n">
        <x:f>D10/C10-1</x:f>
        <x:v>0.5555555555555554</x:v>
      </x:c>
      <x:c r="E11" s="61" t="n">
        <x:f>E10/D10-1</x:f>
        <x:v>0.25</x:v>
      </x:c>
      <x:c r="F11" s="61" t="n">
        <x:f>F10/E10-1</x:f>
        <x:v>0.08571428571428563</x:v>
      </x:c>
      <x:c r="G11" s="61" t="n">
        <x:f>G10/F10-1</x:f>
        <x:v>0.05263157894736836</x:v>
      </x:c>
      <x:c r="H11" s="61" t="n">
        <x:f>H10/G10-1</x:f>
        <x:v>0.050000000000000044</x:v>
      </x:c>
      <x:c r="I11" s="61" t="n">
        <x:f>I10/H10-1</x:f>
        <x:v>0.04761904761904767</x:v>
      </x:c>
      <x:c r="J11" s="61" t="n">
        <x:f>J10/I10-1</x:f>
        <x:v>0.04545454545454519</x:v>
      </x:c>
      <x:c r="K11" s="61" t="n">
        <x:f>K10/J10-1</x:f>
        <x:v>0.04347826086956519</x:v>
      </x:c>
    </x:row>
    <x:row r="12">
      <x:c r="A12" t="str">
        <x:v>Adjusted EBITDA margin</x:v>
      </x:c>
      <x:c r="B12" s="61" t="n">
        <x:v>0.18</x:v>
      </x:c>
      <x:c r="C12" s="61" t="n">
        <x:v>0.42</x:v>
      </x:c>
      <x:c r="D12" s="61" t="n">
        <x:v>0.58</x:v>
      </x:c>
      <x:c r="E12" s="61" t="n">
        <x:v>0.62</x:v>
      </x:c>
      <x:c r="F12" s="61" t="n">
        <x:v>0.64</x:v>
      </x:c>
      <x:c r="G12" s="61" t="n">
        <x:v>0.65</x:v>
      </x:c>
      <x:c r="H12" s="61" t="n">
        <x:v>0.66</x:v>
      </x:c>
      <x:c r="I12" s="61" t="n">
        <x:v>0.66</x:v>
      </x:c>
      <x:c r="J12" s="61" t="n">
        <x:v>0.66</x:v>
      </x:c>
      <x:c r="K12" s="61" t="n">
        <x:v>0.66</x:v>
      </x:c>
    </x:row>
    <x:row r="13">
      <x:c r="A13" t="str">
        <x:v>Adjusted EBITDA ($bn)</x:v>
      </x:c>
      <x:c r="B13" s="56" t="n">
        <x:f>B10*B12</x:f>
        <x:v>0.11699999999999999</x:v>
      </x:c>
      <x:c r="C13" s="56" t="n">
        <x:f>C10*C12</x:f>
        <x:v>0.378</x:v>
      </x:c>
      <x:c r="D13" s="56" t="n">
        <x:f>D10*D12</x:f>
        <x:v>0.8119999999999999</x:v>
      </x:c>
      <x:c r="E13" s="56" t="n">
        <x:f>E10*E12</x:f>
        <x:v>1.085</x:v>
      </x:c>
      <x:c r="F13" s="56" t="n">
        <x:f>F10*F12</x:f>
        <x:v>1.216</x:v>
      </x:c>
      <x:c r="G13" s="56" t="n">
        <x:f>G10*G12</x:f>
        <x:v>1.3</x:v>
      </x:c>
      <x:c r="H13" s="56" t="n">
        <x:f>H10*H12</x:f>
        <x:v>1.3860000000000001</x:v>
      </x:c>
      <x:c r="I13" s="56" t="n">
        <x:f>I10*I12</x:f>
        <x:v>1.4520000000000002</x:v>
      </x:c>
      <x:c r="J13" s="56" t="n">
        <x:f>J10*J12</x:f>
        <x:v>1.518</x:v>
      </x:c>
      <x:c r="K13" s="56" t="n">
        <x:f>K10*K12</x:f>
        <x:v>1.584</x:v>
      </x:c>
    </x:row>
    <x:row r="14">
      <x:c r="A14" t="str">
        <x:v>D&amp;A / revenue</x:v>
      </x:c>
      <x:c r="B14" s="61" t="n">
        <x:v>0.24</x:v>
      </x:c>
      <x:c r="C14" s="61" t="n">
        <x:v>0.2</x:v>
      </x:c>
      <x:c r="D14" s="61" t="n">
        <x:v>0.17</x:v>
      </x:c>
      <x:c r="E14" s="61" t="n">
        <x:v>0.15</x:v>
      </x:c>
      <x:c r="F14" s="61" t="n">
        <x:v>0.13</x:v>
      </x:c>
      <x:c r="G14" s="61" t="n">
        <x:v>0.12</x:v>
      </x:c>
      <x:c r="H14" s="61" t="n">
        <x:v>0.11</x:v>
      </x:c>
      <x:c r="I14" s="61" t="n">
        <x:v>0.1</x:v>
      </x:c>
      <x:c r="J14" s="61" t="n">
        <x:v>0.1</x:v>
      </x:c>
      <x:c r="K14" s="61" t="n">
        <x:v>0.1</x:v>
      </x:c>
    </x:row>
    <x:row r="15">
      <x:c r="A15" t="str">
        <x:v>D&amp;A ($bn)</x:v>
      </x:c>
      <x:c r="B15" s="56" t="n">
        <x:f>B10*B14</x:f>
        <x:v>0.156</x:v>
      </x:c>
      <x:c r="C15" s="56" t="n">
        <x:f>C10*C14</x:f>
        <x:v>0.18000000000000002</x:v>
      </x:c>
      <x:c r="D15" s="56" t="n">
        <x:f>D10*D14</x:f>
        <x:v>0.238</x:v>
      </x:c>
      <x:c r="E15" s="56" t="n">
        <x:f>E10*E14</x:f>
        <x:v>0.2625</x:v>
      </x:c>
      <x:c r="F15" s="56" t="n">
        <x:f>F10*F14</x:f>
        <x:v>0.247</x:v>
      </x:c>
      <x:c r="G15" s="56" t="n">
        <x:f>G10*G14</x:f>
        <x:v>0.24</x:v>
      </x:c>
      <x:c r="H15" s="56" t="n">
        <x:f>H10*H14</x:f>
        <x:v>0.231</x:v>
      </x:c>
      <x:c r="I15" s="56" t="n">
        <x:f>I10*I14</x:f>
        <x:v>0.22000000000000003</x:v>
      </x:c>
      <x:c r="J15" s="56" t="n">
        <x:f>J10*J14</x:f>
        <x:v>0.22999999999999998</x:v>
      </x:c>
      <x:c r="K15" s="56" t="n">
        <x:f>K10*K14</x:f>
        <x:v>0.24</x:v>
      </x:c>
    </x:row>
    <x:row r="16">
      <x:c r="A16" t="str">
        <x:v>EBIT ($bn)</x:v>
      </x:c>
      <x:c r="B16" s="56" t="n">
        <x:f>B13-B15</x:f>
        <x:v>-0.03900000000000001</x:v>
      </x:c>
      <x:c r="C16" s="56" t="n">
        <x:f>C13-C15</x:f>
        <x:v>0.19799999999999998</x:v>
      </x:c>
      <x:c r="D16" s="56" t="n">
        <x:f>D13-D15</x:f>
        <x:v>0.574</x:v>
      </x:c>
      <x:c r="E16" s="56" t="n">
        <x:f>E13-E15</x:f>
        <x:v>0.8225</x:v>
      </x:c>
      <x:c r="F16" s="56" t="n">
        <x:f>F13-F15</x:f>
        <x:v>0.969</x:v>
      </x:c>
      <x:c r="G16" s="56" t="n">
        <x:f>G13-G15</x:f>
        <x:v>1.06</x:v>
      </x:c>
      <x:c r="H16" s="56" t="n">
        <x:f>H13-H15</x:f>
        <x:v>1.155</x:v>
      </x:c>
      <x:c r="I16" s="56" t="n">
        <x:f>I13-I15</x:f>
        <x:v>1.2320000000000002</x:v>
      </x:c>
      <x:c r="J16" s="56" t="n">
        <x:f>J13-J15</x:f>
        <x:v>1.288</x:v>
      </x:c>
      <x:c r="K16" s="56" t="n">
        <x:f>K13-K15</x:f>
        <x:v>1.344</x:v>
      </x:c>
    </x:row>
    <x:row r="17">
      <x:c r="A17" t="str">
        <x:v>Cash tax rate</x:v>
      </x:c>
      <x:c r="B17" s="61" t="n">
        <x:v>0.21</x:v>
      </x:c>
      <x:c r="C17" s="61" t="n">
        <x:v>0.21</x:v>
      </x:c>
      <x:c r="D17" s="61" t="n">
        <x:v>0.21</x:v>
      </x:c>
      <x:c r="E17" s="61" t="n">
        <x:v>0.21</x:v>
      </x:c>
      <x:c r="F17" s="61" t="n">
        <x:v>0.21</x:v>
      </x:c>
      <x:c r="G17" s="61" t="n">
        <x:v>0.21</x:v>
      </x:c>
      <x:c r="H17" s="61" t="n">
        <x:v>0.21</x:v>
      </x:c>
      <x:c r="I17" s="61" t="n">
        <x:v>0.21</x:v>
      </x:c>
      <x:c r="J17" s="61" t="n">
        <x:v>0.21</x:v>
      </x:c>
      <x:c r="K17" s="61" t="n">
        <x:v>0.21</x:v>
      </x:c>
    </x:row>
    <x:row r="18">
      <x:c r="A18" t="str">
        <x:v>Cash taxes ($bn)</x:v>
      </x:c>
      <x:c r="B18" s="56" t="n">
        <x:f>IF(B16&gt;0,B16*B17,0)</x:f>
        <x:v>0</x:v>
      </x:c>
      <x:c r="C18" s="56" t="n">
        <x:f>IF(C16&gt;0,C16*C17,0)</x:f>
        <x:v>0.04157999999999999</x:v>
      </x:c>
      <x:c r="D18" s="56" t="n">
        <x:f>IF(D16&gt;0,D16*D17,0)</x:f>
        <x:v>0.12053999999999998</x:v>
      </x:c>
      <x:c r="E18" s="56" t="n">
        <x:f>IF(E16&gt;0,E16*E17,0)</x:f>
        <x:v>0.172725</x:v>
      </x:c>
      <x:c r="F18" s="56" t="n">
        <x:f>IF(F16&gt;0,F16*F17,0)</x:f>
        <x:v>0.20348999999999998</x:v>
      </x:c>
      <x:c r="G18" s="56" t="n">
        <x:f>IF(G16&gt;0,G16*G17,0)</x:f>
        <x:v>0.2226</x:v>
      </x:c>
      <x:c r="H18" s="56" t="n">
        <x:f>IF(H16&gt;0,H16*H17,0)</x:f>
        <x:v>0.24255</x:v>
      </x:c>
      <x:c r="I18" s="56" t="n">
        <x:f>IF(I16&gt;0,I16*I17,0)</x:f>
        <x:v>0.25872000000000006</x:v>
      </x:c>
      <x:c r="J18" s="56" t="n">
        <x:f>IF(J16&gt;0,J16*J17,0)</x:f>
        <x:v>0.27048</x:v>
      </x:c>
      <x:c r="K18" s="56" t="n">
        <x:f>IF(K16&gt;0,K16*K17,0)</x:f>
        <x:v>0.28224</x:v>
      </x:c>
    </x:row>
    <x:row r="19">
      <x:c r="A19" t="str">
        <x:v>NOPAT ($bn)</x:v>
      </x:c>
      <x:c r="B19" s="56" t="n">
        <x:f>B16-B18</x:f>
        <x:v>-0.03900000000000001</x:v>
      </x:c>
      <x:c r="C19" s="56" t="n">
        <x:f>C16-C18</x:f>
        <x:v>0.15642</x:v>
      </x:c>
      <x:c r="D19" s="56" t="n">
        <x:f>D16-D18</x:f>
        <x:v>0.45346</x:v>
      </x:c>
      <x:c r="E19" s="56" t="n">
        <x:f>E16-E18</x:f>
        <x:v>0.649775</x:v>
      </x:c>
      <x:c r="F19" s="56" t="n">
        <x:f>F16-F18</x:f>
        <x:v>0.76551</x:v>
      </x:c>
      <x:c r="G19" s="56" t="n">
        <x:f>G16-G18</x:f>
        <x:v>0.8374</x:v>
      </x:c>
      <x:c r="H19" s="56" t="n">
        <x:f>H16-H18</x:f>
        <x:v>0.91245</x:v>
      </x:c>
      <x:c r="I19" s="56" t="n">
        <x:f>I16-I18</x:f>
        <x:v>0.9732800000000001</x:v>
      </x:c>
      <x:c r="J19" s="56" t="n">
        <x:f>J16-J18</x:f>
        <x:v>1.01752</x:v>
      </x:c>
      <x:c r="K19" s="56" t="n">
        <x:f>K16-K18</x:f>
        <x:v>1.06176</x:v>
      </x:c>
    </x:row>
    <x:row r="20">
      <x:c r="A20" t="str">
        <x:v>Capex ($bn)</x:v>
      </x:c>
      <x:c r="B20" s="56" t="n">
        <x:v>2.2</x:v>
      </x:c>
      <x:c r="C20" s="56" t="n">
        <x:v>3.2</x:v>
      </x:c>
      <x:c r="D20" s="56" t="n">
        <x:v>2.8</x:v>
      </x:c>
      <x:c r="E20" s="56" t="n">
        <x:v>2.2</x:v>
      </x:c>
      <x:c r="F20" s="56" t="n">
        <x:v>1.8</x:v>
      </x:c>
      <x:c r="G20" s="56" t="n">
        <x:v>1.4</x:v>
      </x:c>
      <x:c r="H20" s="56" t="n">
        <x:v>1.1</x:v>
      </x:c>
      <x:c r="I20" s="56" t="n">
        <x:v>0.9</x:v>
      </x:c>
      <x:c r="J20" s="56" t="n">
        <x:v>0.8</x:v>
      </x:c>
      <x:c r="K20" s="56" t="n">
        <x:v>0.7</x:v>
      </x:c>
    </x:row>
    <x:row r="21">
      <x:c r="A21" t="str">
        <x:v>FCFF ($bn)</x:v>
      </x:c>
      <x:c r="B21" s="56" t="n">
        <x:f>B19+B15-B20</x:f>
        <x:v>-2.083</x:v>
      </x:c>
      <x:c r="C21" s="56" t="n">
        <x:f>C19+C15-C20</x:f>
        <x:v>-2.8635800000000002</x:v>
      </x:c>
      <x:c r="D21" s="56" t="n">
        <x:f>D19+D15-D20</x:f>
        <x:v>-2.1085399999999996</x:v>
      </x:c>
      <x:c r="E21" s="56" t="n">
        <x:f>E19+E15-E20</x:f>
        <x:v>-1.2877250000000002</x:v>
      </x:c>
      <x:c r="F21" s="56" t="n">
        <x:f>F19+F15-F20</x:f>
        <x:v>-0.78749</x:v>
      </x:c>
      <x:c r="G21" s="56" t="n">
        <x:f>G19+G15-G20</x:f>
        <x:v>-0.3226</x:v>
      </x:c>
      <x:c r="H21" s="56" t="n">
        <x:f>H19+H15-H20</x:f>
        <x:v>0.04344999999999999</x:v>
      </x:c>
      <x:c r="I21" s="56" t="n">
        <x:f>I19+I15-I20</x:f>
        <x:v>0.2932800000000001</x:v>
      </x:c>
      <x:c r="J21" s="56" t="n">
        <x:f>J19+J15-J20</x:f>
        <x:v>0.4475199999999999</x:v>
      </x:c>
      <x:c r="K21" s="56" t="n">
        <x:f>K19+K15-K20</x:f>
        <x:v>0.6017600000000001</x:v>
      </x:c>
    </x:row>
    <x:row r="22">
      <x:c r="A22" t="str">
        <x:v>Leased / monetized MW proxy</x:v>
      </x:c>
      <x:c r="B22" s="54" t="n">
        <x:v>500</x:v>
      </x:c>
      <x:c r="C22" s="54" t="n">
        <x:v>650</x:v>
      </x:c>
      <x:c r="D22" s="54" t="n">
        <x:v>930</x:v>
      </x:c>
      <x:c r="E22" s="54" t="n">
        <x:v>1050</x:v>
      </x:c>
      <x:c r="F22" s="54" t="n">
        <x:v>1150</x:v>
      </x:c>
      <x:c r="G22" s="54" t="n">
        <x:v>1250</x:v>
      </x:c>
      <x:c r="H22" s="54" t="n">
        <x:v>1350</x:v>
      </x:c>
      <x:c r="I22" s="54" t="n">
        <x:v>1450</x:v>
      </x:c>
      <x:c r="J22" s="54" t="n">
        <x:v>1550</x:v>
      </x:c>
      <x:c r="K22" s="54" t="n">
        <x:v>1650</x:v>
      </x:c>
    </x:row>
    <x:row r="23">
      <x:c r="A23" t="str">
        <x:v>Colocation revenue / MW ($mm)</x:v>
      </x:c>
      <x:c r="B23" s="100" t="n">
        <x:f>(B6+B7+B8)*1000/B22</x:f>
        <x:v>1.04</x:v>
      </x:c>
      <x:c r="C23" s="100" t="n">
        <x:f>(C6+C7+C8)*1000/C22</x:f>
        <x:v>1.353846153846154</x:v>
      </x:c>
      <x:c r="D23" s="100" t="n">
        <x:f>(D6+D7+D8)*1000/D22</x:f>
        <x:v>1.5053763440860215</x:v>
      </x:c>
      <x:c r="E23" s="100" t="n">
        <x:f>(E6+E7+E8)*1000/E22</x:f>
        <x:v>1.6666666666666667</x:v>
      </x:c>
      <x:c r="F23" s="100" t="n">
        <x:f>(F6+F7+F8)*1000/F22</x:f>
        <x:v>1.6521739130434783</x:v>
      </x:c>
      <x:c r="G23" s="100" t="n">
        <x:f>(G6+G7+G8)*1000/G22</x:f>
        <x:v>1.6</x:v>
      </x:c>
      <x:c r="H23" s="100" t="n">
        <x:f>(H6+H7+H8)*1000/H22</x:f>
        <x:v>1.5555555555555556</x:v>
      </x:c>
      <x:c r="I23" s="100" t="n">
        <x:f>(I6+I7+I8)*1000/I22</x:f>
        <x:v>1.5172413793103448</x:v>
      </x:c>
      <x:c r="J23" s="100" t="n">
        <x:f>(J6+J7+J8)*1000/J22</x:f>
        <x:v>1.4838709677419355</x:v>
      </x:c>
      <x:c r="K23" s="100" t="n">
        <x:f>(K6+K7+K8)*1000/K22</x:f>
        <x:v>1.4545454545454546</x:v>
      </x:c>
    </x:row>
    <x:row r="26">
      <x:c r="A26" s="49" t="str">
        <x:v>Base Scenario</x:v>
      </x:c>
      <x:c r="B26" s="49" t="str">
        <x:v>Base Scenario</x:v>
      </x:c>
      <x:c r="C26" s="49" t="str">
        <x:v>Base Scenario</x:v>
      </x:c>
      <x:c r="D26" s="49" t="str">
        <x:v>Base Scenario</x:v>
      </x:c>
      <x:c r="E26" s="49" t="str">
        <x:v>Base Scenario</x:v>
      </x:c>
      <x:c r="F26" s="49" t="str">
        <x:v>Base Scenario</x:v>
      </x:c>
      <x:c r="G26" s="49" t="str">
        <x:v>Base Scenario</x:v>
      </x:c>
      <x:c r="H26" s="49" t="str">
        <x:v>Base Scenario</x:v>
      </x:c>
      <x:c r="I26" s="49" t="str">
        <x:v>Base Scenario</x:v>
      </x:c>
      <x:c r="J26" s="49" t="str">
        <x:v>Base Scenario</x:v>
      </x:c>
      <x:c r="K26" s="49" t="str">
        <x:v>Base Scenario</x:v>
      </x:c>
    </x:row>
    <x:row r="27">
      <x:c r="A27" t="str">
        <x:v>CoreWeave colocation revenue ($bn)</x:v>
      </x:c>
      <x:c r="B27" s="98" t="n">
        <x:v>0.57</x:v>
      </x:c>
      <x:c r="C27" s="98" t="n">
        <x:v>0.85</x:v>
      </x:c>
      <x:c r="D27" s="98" t="n">
        <x:v>0.85</x:v>
      </x:c>
      <x:c r="E27" s="98" t="n">
        <x:v>0.85</x:v>
      </x:c>
      <x:c r="F27" s="98" t="n">
        <x:v>0.85</x:v>
      </x:c>
      <x:c r="G27" s="98" t="n">
        <x:v>0.85</x:v>
      </x:c>
      <x:c r="H27" s="98" t="n">
        <x:v>0.85</x:v>
      </x:c>
      <x:c r="I27" s="98" t="n">
        <x:v>0.85</x:v>
      </x:c>
      <x:c r="J27" s="98" t="n">
        <x:v>0.85</x:v>
      </x:c>
      <x:c r="K27" s="98" t="n">
        <x:v>0.85</x:v>
      </x:c>
    </x:row>
    <x:row r="28">
      <x:c r="A28" t="str">
        <x:v>AMD/Neocloud colocation revenue ($bn)</x:v>
      </x:c>
      <x:c r="B28" s="98" t="n">
        <x:v>0</x:v>
      </x:c>
      <x:c r="C28" s="98" t="n">
        <x:v>0.2</x:v>
      </x:c>
      <x:c r="D28" s="98" t="n">
        <x:v>0.85</x:v>
      </x:c>
      <x:c r="E28" s="98" t="n">
        <x:v>0.933</x:v>
      </x:c>
      <x:c r="F28" s="98" t="n">
        <x:v>0.933</x:v>
      </x:c>
      <x:c r="G28" s="98" t="n">
        <x:v>0.933</x:v>
      </x:c>
      <x:c r="H28" s="98" t="n">
        <x:v>0.933</x:v>
      </x:c>
      <x:c r="I28" s="98" t="n">
        <x:v>0.933</x:v>
      </x:c>
      <x:c r="J28" s="98" t="n">
        <x:v>0.933</x:v>
      </x:c>
      <x:c r="K28" s="98" t="n">
        <x:v>0.933</x:v>
      </x:c>
    </x:row>
    <x:row r="29">
      <x:c r="A29" t="str">
        <x:v>New pipeline colocation revenue ($bn)</x:v>
      </x:c>
      <x:c r="B29" s="98" t="n">
        <x:v>0</x:v>
      </x:c>
      <x:c r="C29" s="98" t="n">
        <x:v>0</x:v>
      </x:c>
      <x:c r="D29" s="98" t="n">
        <x:v>0.1</x:v>
      </x:c>
      <x:c r="E29" s="98" t="n">
        <x:v>0.4</x:v>
      </x:c>
      <x:c r="F29" s="98" t="n">
        <x:v>0.75</x:v>
      </x:c>
      <x:c r="G29" s="98" t="n">
        <x:v>1.1</x:v>
      </x:c>
      <x:c r="H29" s="98" t="n">
        <x:v>1.4</x:v>
      </x:c>
      <x:c r="I29" s="98" t="n">
        <x:v>1.7</x:v>
      </x:c>
      <x:c r="J29" s="98" t="n">
        <x:v>2</x:v>
      </x:c>
      <x:c r="K29" s="98" t="n">
        <x:v>2.25</x:v>
      </x:c>
    </x:row>
    <x:row r="30">
      <x:c r="A30" t="str">
        <x:v>Mining / hosted residual revenue ($bn)</x:v>
      </x:c>
      <x:c r="B30" s="98" t="n">
        <x:v>0.14</x:v>
      </x:c>
      <x:c r="C30" s="98" t="n">
        <x:v>0.01</x:v>
      </x:c>
      <x:c r="D30" s="98" t="n">
        <x:v>0</x:v>
      </x:c>
      <x:c r="E30" s="98" t="n">
        <x:v>0</x:v>
      </x:c>
      <x:c r="F30" s="98" t="n">
        <x:v>0</x:v>
      </x:c>
      <x:c r="G30" s="98" t="n">
        <x:v>0</x:v>
      </x:c>
      <x:c r="H30" s="98" t="n">
        <x:v>0</x:v>
      </x:c>
      <x:c r="I30" s="98" t="n">
        <x:v>0</x:v>
      </x:c>
      <x:c r="J30" s="98" t="n">
        <x:v>0</x:v>
      </x:c>
      <x:c r="K30" s="98" t="n">
        <x:v>0</x:v>
      </x:c>
    </x:row>
    <x:row r="31">
      <x:c r="A31" t="str">
        <x:v>Total revenue ($bn)</x:v>
      </x:c>
      <x:c r="B31" s="56" t="n">
        <x:f>SUM(B27:B30)</x:f>
        <x:v>0.71</x:v>
      </x:c>
      <x:c r="C31" s="56" t="n">
        <x:f>SUM(C27:C30)</x:f>
        <x:v>1.06</x:v>
      </x:c>
      <x:c r="D31" s="56" t="n">
        <x:f>SUM(D27:D30)</x:f>
        <x:v>1.8</x:v>
      </x:c>
      <x:c r="E31" s="56" t="n">
        <x:f>SUM(E27:E30)</x:f>
        <x:v>2.183</x:v>
      </x:c>
      <x:c r="F31" s="56" t="n">
        <x:f>SUM(F27:F30)</x:f>
        <x:v>2.533</x:v>
      </x:c>
      <x:c r="G31" s="56" t="n">
        <x:f>SUM(G27:G30)</x:f>
        <x:v>2.883</x:v>
      </x:c>
      <x:c r="H31" s="56" t="n">
        <x:f>SUM(H27:H30)</x:f>
        <x:v>3.183</x:v>
      </x:c>
      <x:c r="I31" s="56" t="n">
        <x:f>SUM(I27:I30)</x:f>
        <x:v>3.4829999999999997</x:v>
      </x:c>
      <x:c r="J31" s="56" t="n">
        <x:f>SUM(J27:J30)</x:f>
        <x:v>3.783</x:v>
      </x:c>
      <x:c r="K31" s="56" t="n">
        <x:f>SUM(K27:K30)</x:f>
        <x:v>4.0329999999999995</x:v>
      </x:c>
    </x:row>
    <x:row r="32">
      <x:c r="A32" t="str">
        <x:v>YoY growth</x:v>
      </x:c>
      <x:c r="B32" s="61"/>
      <x:c r="C32" s="61" t="n">
        <x:f>C31/B31-1</x:f>
        <x:v>0.49295774647887347</x:v>
      </x:c>
      <x:c r="D32" s="61" t="n">
        <x:f>D31/C31-1</x:f>
        <x:v>0.6981132075471699</x:v>
      </x:c>
      <x:c r="E32" s="61" t="n">
        <x:f>E31/D31-1</x:f>
        <x:v>0.21277777777777773</x:v>
      </x:c>
      <x:c r="F32" s="61" t="n">
        <x:f>F31/E31-1</x:f>
        <x:v>0.16032982134677054</x:v>
      </x:c>
      <x:c r="G32" s="61" t="n">
        <x:f>G31/F31-1</x:f>
        <x:v>0.13817607579944724</x:v>
      </x:c>
      <x:c r="H32" s="61" t="n">
        <x:f>H31/G31-1</x:f>
        <x:v>0.1040582726326742</x:v>
      </x:c>
      <x:c r="I32" s="61" t="n">
        <x:f>I31/H31-1</x:f>
        <x:v>0.09425070688030157</x:v>
      </x:c>
      <x:c r="J32" s="61" t="n">
        <x:f>J31/I31-1</x:f>
        <x:v>0.08613264427217926</x:v>
      </x:c>
      <x:c r="K32" s="61" t="n">
        <x:f>K31/J31-1</x:f>
        <x:v>0.06608511763150937</x:v>
      </x:c>
    </x:row>
    <x:row r="33">
      <x:c r="A33" t="str">
        <x:v>Adjusted EBITDA margin</x:v>
      </x:c>
      <x:c r="B33" s="104" t="n">
        <x:v>0.25</x:v>
      </x:c>
      <x:c r="C33" s="104" t="n">
        <x:v>0.55</x:v>
      </x:c>
      <x:c r="D33" s="104" t="n">
        <x:v>0.7</x:v>
      </x:c>
      <x:c r="E33" s="104" t="n">
        <x:v>0.73</x:v>
      </x:c>
      <x:c r="F33" s="104" t="n">
        <x:v>0.75</x:v>
      </x:c>
      <x:c r="G33" s="104" t="n">
        <x:v>0.76</x:v>
      </x:c>
      <x:c r="H33" s="104" t="n">
        <x:v>0.76</x:v>
      </x:c>
      <x:c r="I33" s="104" t="n">
        <x:v>0.77</x:v>
      </x:c>
      <x:c r="J33" s="104" t="n">
        <x:v>0.77</x:v>
      </x:c>
      <x:c r="K33" s="104" t="n">
        <x:v>0.77</x:v>
      </x:c>
    </x:row>
    <x:row r="34">
      <x:c r="A34" t="str">
        <x:v>Adjusted EBITDA ($bn)</x:v>
      </x:c>
      <x:c r="B34" s="56" t="n">
        <x:f>B31*B33</x:f>
        <x:v>0.1775</x:v>
      </x:c>
      <x:c r="C34" s="56" t="n">
        <x:f>C31*C33</x:f>
        <x:v>0.5830000000000001</x:v>
      </x:c>
      <x:c r="D34" s="56" t="n">
        <x:f>D31*D33</x:f>
        <x:v>1.26</x:v>
      </x:c>
      <x:c r="E34" s="56" t="n">
        <x:f>E31*E33</x:f>
        <x:v>1.5935899999999998</x:v>
      </x:c>
      <x:c r="F34" s="56" t="n">
        <x:f>F31*F33</x:f>
        <x:v>1.89975</x:v>
      </x:c>
      <x:c r="G34" s="56" t="n">
        <x:f>G31*G33</x:f>
        <x:v>2.19108</x:v>
      </x:c>
      <x:c r="H34" s="56" t="n">
        <x:f>H31*H33</x:f>
        <x:v>2.41908</x:v>
      </x:c>
      <x:c r="I34" s="56" t="n">
        <x:f>I31*I33</x:f>
        <x:v>2.68191</x:v>
      </x:c>
      <x:c r="J34" s="56" t="n">
        <x:f>J31*J33</x:f>
        <x:v>2.91291</x:v>
      </x:c>
      <x:c r="K34" s="56" t="n">
        <x:f>K31*K33</x:f>
        <x:v>3.1054099999999996</x:v>
      </x:c>
    </x:row>
    <x:row r="35">
      <x:c r="A35" t="str">
        <x:v>D&amp;A / revenue</x:v>
      </x:c>
      <x:c r="B35" s="61" t="n">
        <x:v>0.24</x:v>
      </x:c>
      <x:c r="C35" s="61" t="n">
        <x:v>0.2</x:v>
      </x:c>
      <x:c r="D35" s="61" t="n">
        <x:v>0.17</x:v>
      </x:c>
      <x:c r="E35" s="61" t="n">
        <x:v>0.15</x:v>
      </x:c>
      <x:c r="F35" s="61" t="n">
        <x:v>0.13</x:v>
      </x:c>
      <x:c r="G35" s="61" t="n">
        <x:v>0.12</x:v>
      </x:c>
      <x:c r="H35" s="61" t="n">
        <x:v>0.11</x:v>
      </x:c>
      <x:c r="I35" s="61" t="n">
        <x:v>0.1</x:v>
      </x:c>
      <x:c r="J35" s="61" t="n">
        <x:v>0.1</x:v>
      </x:c>
      <x:c r="K35" s="61" t="n">
        <x:v>0.1</x:v>
      </x:c>
    </x:row>
    <x:row r="36">
      <x:c r="A36" t="str">
        <x:v>D&amp;A ($bn)</x:v>
      </x:c>
      <x:c r="B36" s="56" t="n">
        <x:f>B31*B35</x:f>
        <x:v>0.1704</x:v>
      </x:c>
      <x:c r="C36" s="56" t="n">
        <x:f>C31*C35</x:f>
        <x:v>0.21200000000000002</x:v>
      </x:c>
      <x:c r="D36" s="56" t="n">
        <x:f>D31*D35</x:f>
        <x:v>0.30600000000000005</x:v>
      </x:c>
      <x:c r="E36" s="56" t="n">
        <x:f>E31*E35</x:f>
        <x:v>0.32744999999999996</x:v>
      </x:c>
      <x:c r="F36" s="56" t="n">
        <x:f>F31*F35</x:f>
        <x:v>0.32929</x:v>
      </x:c>
      <x:c r="G36" s="56" t="n">
        <x:f>G31*G35</x:f>
        <x:v>0.34596</x:v>
      </x:c>
      <x:c r="H36" s="56" t="n">
        <x:f>H31*H35</x:f>
        <x:v>0.35013</x:v>
      </x:c>
      <x:c r="I36" s="56" t="n">
        <x:f>I31*I35</x:f>
        <x:v>0.3483</x:v>
      </x:c>
      <x:c r="J36" s="56" t="n">
        <x:f>J31*J35</x:f>
        <x:v>0.3783</x:v>
      </x:c>
      <x:c r="K36" s="56" t="n">
        <x:f>K31*K35</x:f>
        <x:v>0.4033</x:v>
      </x:c>
    </x:row>
    <x:row r="37">
      <x:c r="A37" t="str">
        <x:v>EBIT ($bn)</x:v>
      </x:c>
      <x:c r="B37" s="56" t="n">
        <x:f>B34-B36</x:f>
        <x:v>0.007099999999999995</x:v>
      </x:c>
      <x:c r="C37" s="56" t="n">
        <x:f>C34-C36</x:f>
        <x:v>0.37100000000000005</x:v>
      </x:c>
      <x:c r="D37" s="56" t="n">
        <x:f>D34-D36</x:f>
        <x:v>0.954</x:v>
      </x:c>
      <x:c r="E37" s="56" t="n">
        <x:f>E34-E36</x:f>
        <x:v>1.2661399999999998</x:v>
      </x:c>
      <x:c r="F37" s="56" t="n">
        <x:f>F34-F36</x:f>
        <x:v>1.57046</x:v>
      </x:c>
      <x:c r="G37" s="56" t="n">
        <x:f>G34-G36</x:f>
        <x:v>1.8451199999999999</x:v>
      </x:c>
      <x:c r="H37" s="56" t="n">
        <x:f>H34-H36</x:f>
        <x:v>2.06895</x:v>
      </x:c>
      <x:c r="I37" s="56" t="n">
        <x:f>I34-I36</x:f>
        <x:v>2.3336099999999997</x:v>
      </x:c>
      <x:c r="J37" s="56" t="n">
        <x:f>J34-J36</x:f>
        <x:v>2.5346100000000003</x:v>
      </x:c>
      <x:c r="K37" s="56" t="n">
        <x:f>K34-K36</x:f>
        <x:v>2.7021099999999993</x:v>
      </x:c>
    </x:row>
    <x:row r="38">
      <x:c r="A38" t="str">
        <x:v>Cash tax rate</x:v>
      </x:c>
      <x:c r="B38" s="61" t="n">
        <x:v>0.21</x:v>
      </x:c>
      <x:c r="C38" s="61" t="n">
        <x:v>0.21</x:v>
      </x:c>
      <x:c r="D38" s="61" t="n">
        <x:v>0.21</x:v>
      </x:c>
      <x:c r="E38" s="61" t="n">
        <x:v>0.21</x:v>
      </x:c>
      <x:c r="F38" s="61" t="n">
        <x:v>0.21</x:v>
      </x:c>
      <x:c r="G38" s="61" t="n">
        <x:v>0.21</x:v>
      </x:c>
      <x:c r="H38" s="61" t="n">
        <x:v>0.21</x:v>
      </x:c>
      <x:c r="I38" s="61" t="n">
        <x:v>0.21</x:v>
      </x:c>
      <x:c r="J38" s="61" t="n">
        <x:v>0.21</x:v>
      </x:c>
      <x:c r="K38" s="61" t="n">
        <x:v>0.21</x:v>
      </x:c>
    </x:row>
    <x:row r="39">
      <x:c r="A39" t="str">
        <x:v>Cash taxes ($bn)</x:v>
      </x:c>
      <x:c r="B39" s="56" t="n">
        <x:f>IF(B37&gt;0,B37*B38,0)</x:f>
        <x:v>0.0014909999999999988</x:v>
      </x:c>
      <x:c r="C39" s="56" t="n">
        <x:f>IF(C37&gt;0,C37*C38,0)</x:f>
        <x:v>0.07791000000000001</x:v>
      </x:c>
      <x:c r="D39" s="56" t="n">
        <x:f>IF(D37&gt;0,D37*D38,0)</x:f>
        <x:v>0.20034</x:v>
      </x:c>
      <x:c r="E39" s="56" t="n">
        <x:f>IF(E37&gt;0,E37*E38,0)</x:f>
        <x:v>0.26588939999999994</x:v>
      </x:c>
      <x:c r="F39" s="56" t="n">
        <x:f>IF(F37&gt;0,F37*F38,0)</x:f>
        <x:v>0.3297966</x:v>
      </x:c>
      <x:c r="G39" s="56" t="n">
        <x:f>IF(G37&gt;0,G37*G38,0)</x:f>
        <x:v>0.38747519999999996</x:v>
      </x:c>
      <x:c r="H39" s="56" t="n">
        <x:f>IF(H37&gt;0,H37*H38,0)</x:f>
        <x:v>0.4344795</x:v>
      </x:c>
      <x:c r="I39" s="56" t="n">
        <x:f>IF(I37&gt;0,I37*I38,0)</x:f>
        <x:v>0.49005809999999994</x:v>
      </x:c>
      <x:c r="J39" s="56" t="n">
        <x:f>IF(J37&gt;0,J37*J38,0)</x:f>
        <x:v>0.5322681</x:v>
      </x:c>
      <x:c r="K39" s="56" t="n">
        <x:f>IF(K37&gt;0,K37*K38,0)</x:f>
        <x:v>0.5674430999999999</x:v>
      </x:c>
    </x:row>
    <x:row r="40">
      <x:c r="A40" t="str">
        <x:v>NOPAT ($bn)</x:v>
      </x:c>
      <x:c r="B40" s="56" t="n">
        <x:f>B37-B39</x:f>
        <x:v>0.005608999999999996</x:v>
      </x:c>
      <x:c r="C40" s="56" t="n">
        <x:f>C37-C39</x:f>
        <x:v>0.2930900000000001</x:v>
      </x:c>
      <x:c r="D40" s="56" t="n">
        <x:f>D37-D39</x:f>
        <x:v>0.75366</x:v>
      </x:c>
      <x:c r="E40" s="56" t="n">
        <x:f>E37-E39</x:f>
        <x:v>1.0002505999999998</x:v>
      </x:c>
      <x:c r="F40" s="56" t="n">
        <x:f>F37-F39</x:f>
        <x:v>1.2406633999999999</x:v>
      </x:c>
      <x:c r="G40" s="56" t="n">
        <x:f>G37-G39</x:f>
        <x:v>1.4576448</x:v>
      </x:c>
      <x:c r="H40" s="56" t="n">
        <x:f>H37-H39</x:f>
        <x:v>1.6344705</x:v>
      </x:c>
      <x:c r="I40" s="56" t="n">
        <x:f>I37-I39</x:f>
        <x:v>1.8435518999999998</x:v>
      </x:c>
      <x:c r="J40" s="56" t="n">
        <x:f>J37-J39</x:f>
        <x:v>2.0023419000000002</x:v>
      </x:c>
      <x:c r="K40" s="56" t="n">
        <x:f>K37-K39</x:f>
        <x:v>2.1346668999999996</x:v>
      </x:c>
    </x:row>
    <x:row r="41">
      <x:c r="A41" t="str">
        <x:v>Capex ($bn)</x:v>
      </x:c>
      <x:c r="B41" s="106" t="n">
        <x:v>2.5</x:v>
      </x:c>
      <x:c r="C41" s="106" t="n">
        <x:v>3.5</x:v>
      </x:c>
      <x:c r="D41" s="106" t="n">
        <x:v>3</x:v>
      </x:c>
      <x:c r="E41" s="106" t="n">
        <x:v>2.5</x:v>
      </x:c>
      <x:c r="F41" s="106" t="n">
        <x:v>2.1</x:v>
      </x:c>
      <x:c r="G41" s="106" t="n">
        <x:v>1.7</x:v>
      </x:c>
      <x:c r="H41" s="106" t="n">
        <x:v>1.3</x:v>
      </x:c>
      <x:c r="I41" s="106" t="n">
        <x:v>1</x:v>
      </x:c>
      <x:c r="J41" s="106" t="n">
        <x:v>0.9</x:v>
      </x:c>
      <x:c r="K41" s="106" t="n">
        <x:v>0.8</x:v>
      </x:c>
    </x:row>
    <x:row r="42">
      <x:c r="A42" t="str">
        <x:v>FCFF ($bn)</x:v>
      </x:c>
      <x:c r="B42" s="56" t="n">
        <x:f>B40+B36-B41</x:f>
        <x:v>-2.323991</x:v>
      </x:c>
      <x:c r="C42" s="56" t="n">
        <x:f>C40+C36-C41</x:f>
        <x:v>-2.99491</x:v>
      </x:c>
      <x:c r="D42" s="56" t="n">
        <x:f>D40+D36-D41</x:f>
        <x:v>-1.94034</x:v>
      </x:c>
      <x:c r="E42" s="56" t="n">
        <x:f>E40+E36-E41</x:f>
        <x:v>-1.1722994000000002</x:v>
      </x:c>
      <x:c r="F42" s="56" t="n">
        <x:f>F40+F36-F41</x:f>
        <x:v>-0.5300466000000001</x:v>
      </x:c>
      <x:c r="G42" s="56" t="n">
        <x:f>G40+G36-G41</x:f>
        <x:v>0.10360480000000005</x:v>
      </x:c>
      <x:c r="H42" s="56" t="n">
        <x:f>H40+H36-H41</x:f>
        <x:v>0.6846005</x:v>
      </x:c>
      <x:c r="I42" s="56" t="n">
        <x:f>I40+I36-I41</x:f>
        <x:v>1.1918518999999996</x:v>
      </x:c>
      <x:c r="J42" s="56" t="n">
        <x:f>J40+J36-J41</x:f>
        <x:v>1.4806419000000002</x:v>
      </x:c>
      <x:c r="K42" s="56" t="n">
        <x:f>K40+K36-K41</x:f>
        <x:v>1.7379668999999998</x:v>
      </x:c>
    </x:row>
    <x:row r="43">
      <x:c r="A43" t="str">
        <x:v>Leased / monetized MW proxy</x:v>
      </x:c>
      <x:c r="B43" s="54" t="n">
        <x:v>520</x:v>
      </x:c>
      <x:c r="C43" s="54" t="n">
        <x:v>720</x:v>
      </x:c>
      <x:c r="D43" s="54" t="n">
        <x:v>1120</x:v>
      </x:c>
      <x:c r="E43" s="54" t="n">
        <x:v>1370</x:v>
      </x:c>
      <x:c r="F43" s="54" t="n">
        <x:v>1580</x:v>
      </x:c>
      <x:c r="G43" s="54" t="n">
        <x:v>1780</x:v>
      </x:c>
      <x:c r="H43" s="54" t="n">
        <x:v>1970</x:v>
      </x:c>
      <x:c r="I43" s="54" t="n">
        <x:v>2160</x:v>
      </x:c>
      <x:c r="J43" s="54" t="n">
        <x:v>2350</x:v>
      </x:c>
      <x:c r="K43" s="54" t="n">
        <x:v>2500</x:v>
      </x:c>
    </x:row>
    <x:row r="44">
      <x:c r="A44" t="str">
        <x:v>Colocation revenue / MW ($mm)</x:v>
      </x:c>
      <x:c r="B44" s="100" t="n">
        <x:f>(B27+B28+B29)*1000/B43</x:f>
        <x:v>1.0961538461538463</x:v>
      </x:c>
      <x:c r="C44" s="100" t="n">
        <x:f>(C27+C28+C29)*1000/C43</x:f>
        <x:v>1.4583333333333333</x:v>
      </x:c>
      <x:c r="D44" s="100" t="n">
        <x:f>(D27+D28+D29)*1000/D43</x:f>
        <x:v>1.6071428571428572</x:v>
      </x:c>
      <x:c r="E44" s="100" t="n">
        <x:f>(E27+E28+E29)*1000/E43</x:f>
        <x:v>1.5934306569343066</x:v>
      </x:c>
      <x:c r="F44" s="100" t="n">
        <x:f>(F27+F28+F29)*1000/F43</x:f>
        <x:v>1.6031645569620254</x:v>
      </x:c>
      <x:c r="G44" s="100" t="n">
        <x:f>(G27+G28+G29)*1000/G43</x:f>
        <x:v>1.6196629213483147</x:v>
      </x:c>
      <x:c r="H44" s="100" t="n">
        <x:f>(H27+H28+H29)*1000/H43</x:f>
        <x:v>1.615736040609137</x:v>
      </x:c>
      <x:c r="I44" s="100" t="n">
        <x:f>(I27+I28+I29)*1000/I43</x:f>
        <x:v>1.6124999999999998</x:v>
      </x:c>
      <x:c r="J44" s="100" t="n">
        <x:f>(J27+J28+J29)*1000/J43</x:f>
        <x:v>1.6097872340425532</x:v>
      </x:c>
      <x:c r="K44" s="100" t="n">
        <x:f>(K27+K28+K29)*1000/K43</x:f>
        <x:v>1.6131999999999997</x:v>
      </x:c>
    </x:row>
    <x:row r="47">
      <x:c r="A47" s="49" t="str">
        <x:v>Bull Scenario</x:v>
      </x:c>
      <x:c r="B47" s="49" t="str">
        <x:v>Bull Scenario</x:v>
      </x:c>
      <x:c r="C47" s="49" t="str">
        <x:v>Bull Scenario</x:v>
      </x:c>
      <x:c r="D47" s="49" t="str">
        <x:v>Bull Scenario</x:v>
      </x:c>
      <x:c r="E47" s="49" t="str">
        <x:v>Bull Scenario</x:v>
      </x:c>
      <x:c r="F47" s="49" t="str">
        <x:v>Bull Scenario</x:v>
      </x:c>
      <x:c r="G47" s="49" t="str">
        <x:v>Bull Scenario</x:v>
      </x:c>
      <x:c r="H47" s="49" t="str">
        <x:v>Bull Scenario</x:v>
      </x:c>
      <x:c r="I47" s="49" t="str">
        <x:v>Bull Scenario</x:v>
      </x:c>
      <x:c r="J47" s="49" t="str">
        <x:v>Bull Scenario</x:v>
      </x:c>
      <x:c r="K47" s="49" t="str">
        <x:v>Bull Scenario</x:v>
      </x:c>
    </x:row>
    <x:row r="48">
      <x:c r="A48" t="str">
        <x:v>CoreWeave colocation revenue ($bn)</x:v>
      </x:c>
      <x:c r="B48" s="40" t="n">
        <x:v>0.6</x:v>
      </x:c>
      <x:c r="C48" s="40" t="n">
        <x:v>0.85</x:v>
      </x:c>
      <x:c r="D48" s="40" t="n">
        <x:v>0.85</x:v>
      </x:c>
      <x:c r="E48" s="40" t="n">
        <x:v>0.85</x:v>
      </x:c>
      <x:c r="F48" s="40" t="n">
        <x:v>0.85</x:v>
      </x:c>
      <x:c r="G48" s="40" t="n">
        <x:v>0.85</x:v>
      </x:c>
      <x:c r="H48" s="40" t="n">
        <x:v>0.85</x:v>
      </x:c>
      <x:c r="I48" s="40" t="n">
        <x:v>0.85</x:v>
      </x:c>
      <x:c r="J48" s="40" t="n">
        <x:v>0.85</x:v>
      </x:c>
      <x:c r="K48" s="40" t="n">
        <x:v>0.85</x:v>
      </x:c>
    </x:row>
    <x:row r="49">
      <x:c r="A49" t="str">
        <x:v>AMD/Neocloud colocation revenue ($bn)</x:v>
      </x:c>
      <x:c r="B49" s="40" t="n">
        <x:v>0</x:v>
      </x:c>
      <x:c r="C49" s="40" t="n">
        <x:v>0.3</x:v>
      </x:c>
      <x:c r="D49" s="40" t="n">
        <x:v>0.933</x:v>
      </x:c>
      <x:c r="E49" s="40" t="n">
        <x:v>0.933</x:v>
      </x:c>
      <x:c r="F49" s="40" t="n">
        <x:v>0.933</x:v>
      </x:c>
      <x:c r="G49" s="40" t="n">
        <x:v>0.933</x:v>
      </x:c>
      <x:c r="H49" s="40" t="n">
        <x:v>0.933</x:v>
      </x:c>
      <x:c r="I49" s="40" t="n">
        <x:v>0.933</x:v>
      </x:c>
      <x:c r="J49" s="40" t="n">
        <x:v>0.933</x:v>
      </x:c>
      <x:c r="K49" s="40" t="n">
        <x:v>0.933</x:v>
      </x:c>
    </x:row>
    <x:row r="50">
      <x:c r="A50" t="str">
        <x:v>New pipeline colocation revenue ($bn)</x:v>
      </x:c>
      <x:c r="B50" s="40" t="n">
        <x:v>0</x:v>
      </x:c>
      <x:c r="C50" s="40" t="n">
        <x:v>0.1</x:v>
      </x:c>
      <x:c r="D50" s="40" t="n">
        <x:v>0.35</x:v>
      </x:c>
      <x:c r="E50" s="40" t="n">
        <x:v>0.8</x:v>
      </x:c>
      <x:c r="F50" s="40" t="n">
        <x:v>1.4</x:v>
      </x:c>
      <x:c r="G50" s="40" t="n">
        <x:v>2</x:v>
      </x:c>
      <x:c r="H50" s="40" t="n">
        <x:v>2.6</x:v>
      </x:c>
      <x:c r="I50" s="40" t="n">
        <x:v>3.2</x:v>
      </x:c>
      <x:c r="J50" s="40" t="n">
        <x:v>3.7</x:v>
      </x:c>
      <x:c r="K50" s="40" t="n">
        <x:v>4.1</x:v>
      </x:c>
    </x:row>
    <x:row r="51">
      <x:c r="A51" t="str">
        <x:v>Mining / hosted residual revenue ($bn)</x:v>
      </x:c>
      <x:c r="B51" s="40" t="n">
        <x:v>0.15</x:v>
      </x:c>
      <x:c r="C51" s="40" t="n">
        <x:v>0.02</x:v>
      </x:c>
      <x:c r="D51" s="40" t="n">
        <x:v>0</x:v>
      </x:c>
      <x:c r="E51" s="40" t="n">
        <x:v>0</x:v>
      </x:c>
      <x:c r="F51" s="40" t="n">
        <x:v>0</x:v>
      </x:c>
      <x:c r="G51" s="40" t="n">
        <x:v>0</x:v>
      </x:c>
      <x:c r="H51" s="40" t="n">
        <x:v>0</x:v>
      </x:c>
      <x:c r="I51" s="40" t="n">
        <x:v>0</x:v>
      </x:c>
      <x:c r="J51" s="40" t="n">
        <x:v>0</x:v>
      </x:c>
      <x:c r="K51" s="40" t="n">
        <x:v>0</x:v>
      </x:c>
    </x:row>
    <x:row r="52">
      <x:c r="A52" t="str">
        <x:v>Total revenue ($bn)</x:v>
      </x:c>
      <x:c r="B52" s="56" t="n">
        <x:f>SUM(B48:B51)</x:f>
        <x:v>0.75</x:v>
      </x:c>
      <x:c r="C52" s="56" t="n">
        <x:f>SUM(C48:C51)</x:f>
        <x:v>1.27</x:v>
      </x:c>
      <x:c r="D52" s="56" t="n">
        <x:f>SUM(D48:D51)</x:f>
        <x:v>2.133</x:v>
      </x:c>
      <x:c r="E52" s="56" t="n">
        <x:f>SUM(E48:E51)</x:f>
        <x:v>2.583</x:v>
      </x:c>
      <x:c r="F52" s="56" t="n">
        <x:f>SUM(F48:F51)</x:f>
        <x:v>3.183</x:v>
      </x:c>
      <x:c r="G52" s="56" t="n">
        <x:f>SUM(G48:G51)</x:f>
        <x:v>3.783</x:v>
      </x:c>
      <x:c r="H52" s="56" t="n">
        <x:f>SUM(H48:H51)</x:f>
        <x:v>4.383</x:v>
      </x:c>
      <x:c r="I52" s="56" t="n">
        <x:f>SUM(I48:I51)</x:f>
        <x:v>4.9830000000000005</x:v>
      </x:c>
      <x:c r="J52" s="56" t="n">
        <x:f>SUM(J48:J51)</x:f>
        <x:v>5.4830000000000005</x:v>
      </x:c>
      <x:c r="K52" s="56" t="n">
        <x:f>SUM(K48:K51)</x:f>
        <x:v>5.882999999999999</x:v>
      </x:c>
    </x:row>
    <x:row r="53">
      <x:c r="A53" t="str">
        <x:v>YoY growth</x:v>
      </x:c>
      <x:c r="B53" s="61"/>
      <x:c r="C53" s="61" t="n">
        <x:f>C52/B52-1</x:f>
        <x:v>0.6933333333333334</x:v>
      </x:c>
      <x:c r="D53" s="61" t="n">
        <x:f>D52/C52-1</x:f>
        <x:v>0.6795275590551182</x:v>
      </x:c>
      <x:c r="E53" s="61" t="n">
        <x:f>E52/D52-1</x:f>
        <x:v>0.21097046413502119</x:v>
      </x:c>
      <x:c r="F53" s="61" t="n">
        <x:f>F52/E52-1</x:f>
        <x:v>0.23228803716608581</x:v>
      </x:c>
      <x:c r="G53" s="61" t="n">
        <x:f>G52/F52-1</x:f>
        <x:v>0.18850141376060314</x:v>
      </x:c>
      <x:c r="H53" s="61" t="n">
        <x:f>H52/G52-1</x:f>
        <x:v>0.15860428231562262</x:v>
      </x:c>
      <x:c r="I53" s="61" t="n">
        <x:f>I52/H52-1</x:f>
        <x:v>0.13689253935660517</x:v>
      </x:c>
      <x:c r="J53" s="61" t="n">
        <x:f>J52/I52-1</x:f>
        <x:v>0.10034115994380888</x:v>
      </x:c>
      <x:c r="K53" s="61" t="n">
        <x:f>K52/J52-1</x:f>
        <x:v>0.0729527630859017</x:v>
      </x:c>
    </x:row>
    <x:row r="54">
      <x:c r="A54" t="str">
        <x:v>Adjusted EBITDA margin</x:v>
      </x:c>
      <x:c r="B54" s="61" t="n">
        <x:v>0.3</x:v>
      </x:c>
      <x:c r="C54" s="61" t="n">
        <x:v>0.6</x:v>
      </x:c>
      <x:c r="D54" s="61" t="n">
        <x:v>0.74</x:v>
      </x:c>
      <x:c r="E54" s="61" t="n">
        <x:v>0.77</x:v>
      </x:c>
      <x:c r="F54" s="61" t="n">
        <x:v>0.79</x:v>
      </x:c>
      <x:c r="G54" s="61" t="n">
        <x:v>0.8</x:v>
      </x:c>
      <x:c r="H54" s="61" t="n">
        <x:v>0.8</x:v>
      </x:c>
      <x:c r="I54" s="61" t="n">
        <x:v>0.8</x:v>
      </x:c>
      <x:c r="J54" s="61" t="n">
        <x:v>0.8</x:v>
      </x:c>
      <x:c r="K54" s="61" t="n">
        <x:v>0.8</x:v>
      </x:c>
    </x:row>
    <x:row r="55">
      <x:c r="A55" t="str">
        <x:v>Adjusted EBITDA ($bn)</x:v>
      </x:c>
      <x:c r="B55" s="56" t="n">
        <x:f>B52*B54</x:f>
        <x:v>0.22499999999999998</x:v>
      </x:c>
      <x:c r="C55" s="56" t="n">
        <x:f>C52*C54</x:f>
        <x:v>0.762</x:v>
      </x:c>
      <x:c r="D55" s="56" t="n">
        <x:f>D52*D54</x:f>
        <x:v>1.57842</x:v>
      </x:c>
      <x:c r="E55" s="56" t="n">
        <x:f>E52*E54</x:f>
        <x:v>1.9889100000000002</x:v>
      </x:c>
      <x:c r="F55" s="56" t="n">
        <x:f>F52*F54</x:f>
        <x:v>2.51457</x:v>
      </x:c>
      <x:c r="G55" s="56" t="n">
        <x:f>G52*G54</x:f>
        <x:v>3.0264</x:v>
      </x:c>
      <x:c r="H55" s="56" t="n">
        <x:f>H52*H54</x:f>
        <x:v>3.5064</x:v>
      </x:c>
      <x:c r="I55" s="56" t="n">
        <x:f>I52*I54</x:f>
        <x:v>3.9864000000000006</x:v>
      </x:c>
      <x:c r="J55" s="56" t="n">
        <x:f>J52*J54</x:f>
        <x:v>4.386400000000001</x:v>
      </x:c>
      <x:c r="K55" s="56" t="n">
        <x:f>K52*K54</x:f>
        <x:v>4.7063999999999995</x:v>
      </x:c>
    </x:row>
    <x:row r="56">
      <x:c r="A56" t="str">
        <x:v>D&amp;A / revenue</x:v>
      </x:c>
      <x:c r="B56" s="61" t="n">
        <x:v>0.23</x:v>
      </x:c>
      <x:c r="C56" s="61" t="n">
        <x:v>0.19</x:v>
      </x:c>
      <x:c r="D56" s="61" t="n">
        <x:v>0.16</x:v>
      </x:c>
      <x:c r="E56" s="61" t="n">
        <x:v>0.14</x:v>
      </x:c>
      <x:c r="F56" s="61" t="n">
        <x:v>0.12</x:v>
      </x:c>
      <x:c r="G56" s="61" t="n">
        <x:v>0.11</x:v>
      </x:c>
      <x:c r="H56" s="61" t="n">
        <x:v>0.1</x:v>
      </x:c>
      <x:c r="I56" s="61" t="n">
        <x:v>0.1</x:v>
      </x:c>
      <x:c r="J56" s="61" t="n">
        <x:v>0.09</x:v>
      </x:c>
      <x:c r="K56" s="61" t="n">
        <x:v>0.09</x:v>
      </x:c>
    </x:row>
    <x:row r="57">
      <x:c r="A57" t="str">
        <x:v>D&amp;A ($bn)</x:v>
      </x:c>
      <x:c r="B57" s="56" t="n">
        <x:f>B52*B56</x:f>
        <x:v>0.17250000000000001</x:v>
      </x:c>
      <x:c r="C57" s="56" t="n">
        <x:f>C52*C56</x:f>
        <x:v>0.24130000000000001</x:v>
      </x:c>
      <x:c r="D57" s="56" t="n">
        <x:f>D52*D56</x:f>
        <x:v>0.34128000000000003</x:v>
      </x:c>
      <x:c r="E57" s="56" t="n">
        <x:f>E52*E56</x:f>
        <x:v>0.36162000000000005</x:v>
      </x:c>
      <x:c r="F57" s="56" t="n">
        <x:f>F52*F56</x:f>
        <x:v>0.38195999999999997</x:v>
      </x:c>
      <x:c r="G57" s="56" t="n">
        <x:f>G52*G56</x:f>
        <x:v>0.41613</x:v>
      </x:c>
      <x:c r="H57" s="56" t="n">
        <x:f>H52*H56</x:f>
        <x:v>0.4383</x:v>
      </x:c>
      <x:c r="I57" s="56" t="n">
        <x:f>I52*I56</x:f>
        <x:v>0.4983000000000001</x:v>
      </x:c>
      <x:c r="J57" s="56" t="n">
        <x:f>J52*J56</x:f>
        <x:v>0.49347</x:v>
      </x:c>
      <x:c r="K57" s="56" t="n">
        <x:f>K52*K56</x:f>
        <x:v>0.5294699999999999</x:v>
      </x:c>
    </x:row>
    <x:row r="58">
      <x:c r="A58" t="str">
        <x:v>EBIT ($bn)</x:v>
      </x:c>
      <x:c r="B58" s="56" t="n">
        <x:f>B55-B57</x:f>
        <x:v>0.05249999999999996</x:v>
      </x:c>
      <x:c r="C58" s="56" t="n">
        <x:f>C55-C57</x:f>
        <x:v>0.5206999999999999</x:v>
      </x:c>
      <x:c r="D58" s="56" t="n">
        <x:f>D55-D57</x:f>
        <x:v>1.23714</x:v>
      </x:c>
      <x:c r="E58" s="56" t="n">
        <x:f>E55-E57</x:f>
        <x:v>1.6272900000000001</x:v>
      </x:c>
      <x:c r="F58" s="56" t="n">
        <x:f>F55-F57</x:f>
        <x:v>2.13261</x:v>
      </x:c>
      <x:c r="G58" s="56" t="n">
        <x:f>G55-G57</x:f>
        <x:v>2.6102700000000003</x:v>
      </x:c>
      <x:c r="H58" s="56" t="n">
        <x:f>H55-H57</x:f>
        <x:v>3.0681000000000003</x:v>
      </x:c>
      <x:c r="I58" s="56" t="n">
        <x:f>I55-I57</x:f>
        <x:v>3.4881000000000006</x:v>
      </x:c>
      <x:c r="J58" s="56" t="n">
        <x:f>J55-J57</x:f>
        <x:v>3.892930000000001</x:v>
      </x:c>
      <x:c r="K58" s="56" t="n">
        <x:f>K55-K57</x:f>
        <x:v>4.17693</x:v>
      </x:c>
    </x:row>
    <x:row r="59">
      <x:c r="A59" t="str">
        <x:v>Cash tax rate</x:v>
      </x:c>
      <x:c r="B59" s="61" t="n">
        <x:v>0.21</x:v>
      </x:c>
      <x:c r="C59" s="61" t="n">
        <x:v>0.21</x:v>
      </x:c>
      <x:c r="D59" s="61" t="n">
        <x:v>0.21</x:v>
      </x:c>
      <x:c r="E59" s="61" t="n">
        <x:v>0.21</x:v>
      </x:c>
      <x:c r="F59" s="61" t="n">
        <x:v>0.21</x:v>
      </x:c>
      <x:c r="G59" s="61" t="n">
        <x:v>0.21</x:v>
      </x:c>
      <x:c r="H59" s="61" t="n">
        <x:v>0.21</x:v>
      </x:c>
      <x:c r="I59" s="61" t="n">
        <x:v>0.21</x:v>
      </x:c>
      <x:c r="J59" s="61" t="n">
        <x:v>0.21</x:v>
      </x:c>
      <x:c r="K59" s="61" t="n">
        <x:v>0.21</x:v>
      </x:c>
    </x:row>
    <x:row r="60">
      <x:c r="A60" t="str">
        <x:v>Cash taxes ($bn)</x:v>
      </x:c>
      <x:c r="B60" s="56" t="n">
        <x:f>IF(B58&gt;0,B58*B59,0)</x:f>
        <x:v>0.011024999999999991</x:v>
      </x:c>
      <x:c r="C60" s="56" t="n">
        <x:f>IF(C58&gt;0,C58*C59,0)</x:f>
        <x:v>0.10934699999999999</x:v>
      </x:c>
      <x:c r="D60" s="56" t="n">
        <x:f>IF(D58&gt;0,D58*D59,0)</x:f>
        <x:v>0.25979939999999996</x:v>
      </x:c>
      <x:c r="E60" s="56" t="n">
        <x:f>IF(E58&gt;0,E58*E59,0)</x:f>
        <x:v>0.3417309</x:v>
      </x:c>
      <x:c r="F60" s="56" t="n">
        <x:f>IF(F58&gt;0,F58*F59,0)</x:f>
        <x:v>0.4478481</x:v>
      </x:c>
      <x:c r="G60" s="56" t="n">
        <x:f>IF(G58&gt;0,G58*G59,0)</x:f>
        <x:v>0.5481567</x:v>
      </x:c>
      <x:c r="H60" s="56" t="n">
        <x:f>IF(H58&gt;0,H58*H59,0)</x:f>
        <x:v>0.644301</x:v>
      </x:c>
      <x:c r="I60" s="56" t="n">
        <x:f>IF(I58&gt;0,I58*I59,0)</x:f>
        <x:v>0.7325010000000001</x:v>
      </x:c>
      <x:c r="J60" s="56" t="n">
        <x:f>IF(J58&gt;0,J58*J59,0)</x:f>
        <x:v>0.8175153000000002</x:v>
      </x:c>
      <x:c r="K60" s="56" t="n">
        <x:f>IF(K58&gt;0,K58*K59,0)</x:f>
        <x:v>0.8771552999999999</x:v>
      </x:c>
    </x:row>
    <x:row r="61">
      <x:c r="A61" t="str">
        <x:v>NOPAT ($bn)</x:v>
      </x:c>
      <x:c r="B61" s="56" t="n">
        <x:f>B58-B60</x:f>
        <x:v>0.04147499999999997</x:v>
      </x:c>
      <x:c r="C61" s="56" t="n">
        <x:f>C58-C60</x:f>
        <x:v>0.41135299999999997</x:v>
      </x:c>
      <x:c r="D61" s="56" t="n">
        <x:f>D58-D60</x:f>
        <x:v>0.9773406</x:v>
      </x:c>
      <x:c r="E61" s="56" t="n">
        <x:f>E58-E60</x:f>
        <x:v>1.2855591000000002</x:v>
      </x:c>
      <x:c r="F61" s="56" t="n">
        <x:f>F58-F60</x:f>
        <x:v>1.6847619</x:v>
      </x:c>
      <x:c r="G61" s="56" t="n">
        <x:f>G58-G60</x:f>
        <x:v>2.0621133</x:v>
      </x:c>
      <x:c r="H61" s="56" t="n">
        <x:f>H58-H60</x:f>
        <x:v>2.4237990000000003</x:v>
      </x:c>
      <x:c r="I61" s="56" t="n">
        <x:f>I58-I60</x:f>
        <x:v>2.7555990000000006</x:v>
      </x:c>
      <x:c r="J61" s="56" t="n">
        <x:f>J58-J60</x:f>
        <x:v>3.075414700000001</x:v>
      </x:c>
      <x:c r="K61" s="56" t="n">
        <x:f>K58-K60</x:f>
        <x:v>3.2997746999999995</x:v>
      </x:c>
    </x:row>
    <x:row r="62">
      <x:c r="A62" t="str">
        <x:v>Capex ($bn)</x:v>
      </x:c>
      <x:c r="B62" s="56" t="n">
        <x:v>2.6</x:v>
      </x:c>
      <x:c r="C62" s="56" t="n">
        <x:v>3.8</x:v>
      </x:c>
      <x:c r="D62" s="56" t="n">
        <x:v>3.5</x:v>
      </x:c>
      <x:c r="E62" s="56" t="n">
        <x:v>3</x:v>
      </x:c>
      <x:c r="F62" s="56" t="n">
        <x:v>2.6</x:v>
      </x:c>
      <x:c r="G62" s="56" t="n">
        <x:v>2.2</x:v>
      </x:c>
      <x:c r="H62" s="56" t="n">
        <x:v>1.8</x:v>
      </x:c>
      <x:c r="I62" s="56" t="n">
        <x:v>1.4</x:v>
      </x:c>
      <x:c r="J62" s="56" t="n">
        <x:v>1.2</x:v>
      </x:c>
      <x:c r="K62" s="56" t="n">
        <x:v>1</x:v>
      </x:c>
    </x:row>
    <x:row r="63">
      <x:c r="A63" t="str">
        <x:v>FCFF ($bn)</x:v>
      </x:c>
      <x:c r="B63" s="56" t="n">
        <x:f>B61+B57-B62</x:f>
        <x:v>-2.386025</x:v>
      </x:c>
      <x:c r="C63" s="56" t="n">
        <x:f>C61+C57-C62</x:f>
        <x:v>-3.147347</x:v>
      </x:c>
      <x:c r="D63" s="56" t="n">
        <x:f>D61+D57-D62</x:f>
        <x:v>-2.1813794</x:v>
      </x:c>
      <x:c r="E63" s="56" t="n">
        <x:f>E61+E57-E62</x:f>
        <x:v>-1.3528208999999998</x:v>
      </x:c>
      <x:c r="F63" s="56" t="n">
        <x:f>F61+F57-F62</x:f>
        <x:v>-0.5332781</x:v>
      </x:c>
      <x:c r="G63" s="56" t="n">
        <x:f>G61+G57-G62</x:f>
        <x:v>0.27824329999999975</x:v>
      </x:c>
      <x:c r="H63" s="56" t="n">
        <x:f>H61+H57-H62</x:f>
        <x:v>1.0620990000000001</x:v>
      </x:c>
      <x:c r="I63" s="56" t="n">
        <x:f>I61+I57-I62</x:f>
        <x:v>1.8538990000000006</x:v>
      </x:c>
      <x:c r="J63" s="56" t="n">
        <x:f>J61+J57-J62</x:f>
        <x:v>2.3688847000000006</x:v>
      </x:c>
      <x:c r="K63" s="56" t="n">
        <x:f>K61+K57-K62</x:f>
        <x:v>2.8292446999999994</x:v>
      </x:c>
    </x:row>
    <x:row r="64">
      <x:c r="A64" t="str">
        <x:v>Leased / monetized MW proxy</x:v>
      </x:c>
      <x:c r="B64" s="54" t="n">
        <x:v>540</x:v>
      </x:c>
      <x:c r="C64" s="54" t="n">
        <x:v>800</x:v>
      </x:c>
      <x:c r="D64" s="54" t="n">
        <x:v>1320</x:v>
      </x:c>
      <x:c r="E64" s="54" t="n">
        <x:v>1750</x:v>
      </x:c>
      <x:c r="F64" s="54" t="n">
        <x:v>2150</x:v>
      </x:c>
      <x:c r="G64" s="54" t="n">
        <x:v>2550</x:v>
      </x:c>
      <x:c r="H64" s="54" t="n">
        <x:v>2950</x:v>
      </x:c>
      <x:c r="I64" s="54" t="n">
        <x:v>3300</x:v>
      </x:c>
      <x:c r="J64" s="54" t="n">
        <x:v>3600</x:v>
      </x:c>
      <x:c r="K64" s="54" t="n">
        <x:v>3850</x:v>
      </x:c>
    </x:row>
    <x:row r="65">
      <x:c r="A65" t="str">
        <x:v>Colocation revenue / MW ($mm)</x:v>
      </x:c>
      <x:c r="B65" s="100" t="n">
        <x:f>(B48+B49+B50)*1000/B64</x:f>
        <x:v>1.1111111111111112</x:v>
      </x:c>
      <x:c r="C65" s="100" t="n">
        <x:f>(C48+C49+C50)*1000/C64</x:f>
        <x:v>1.5625</x:v>
      </x:c>
      <x:c r="D65" s="100" t="n">
        <x:f>(D48+D49+D50)*1000/D64</x:f>
        <x:v>1.615909090909091</x:v>
      </x:c>
      <x:c r="E65" s="100" t="n">
        <x:f>(E48+E49+E50)*1000/E64</x:f>
        <x:v>1.476</x:v>
      </x:c>
      <x:c r="F65" s="100" t="n">
        <x:f>(F48+F49+F50)*1000/F64</x:f>
        <x:v>1.4804651162790698</x:v>
      </x:c>
      <x:c r="G65" s="100" t="n">
        <x:f>(G48+G49+G50)*1000/G64</x:f>
        <x:v>1.483529411764706</x:v>
      </x:c>
      <x:c r="H65" s="100" t="n">
        <x:f>(H48+H49+H50)*1000/H64</x:f>
        <x:v>1.4857627118644068</x:v>
      </x:c>
      <x:c r="I65" s="100" t="n">
        <x:f>(I48+I49+I50)*1000/I64</x:f>
        <x:v>1.5100000000000002</x:v>
      </x:c>
      <x:c r="J65" s="100" t="n">
        <x:f>(J48+J49+J50)*1000/J64</x:f>
        <x:v>1.5230555555555558</x:v>
      </x:c>
      <x:c r="K65" s="100" t="n">
        <x:f>(K48+K49+K50)*1000/K64</x:f>
        <x:v>1.5280519480519479</x:v>
      </x:c>
    </x:row>
  </x:sheetData>
  <x:mergeCells>
    <x:mergeCell ref="A1:K1"/>
    <x:mergeCell ref="A2:K2"/>
    <x:mergeCell ref="A5:K5"/>
    <x:mergeCell ref="A26:K26"/>
    <x:mergeCell ref="A47:K4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4" t="str">
        <x:v>Contracted HDC SOTP</x:v>
      </x:c>
      <x:c r="B1" s="4"/>
      <x:c r="C1" s="4"/>
      <x:c r="D1" s="4"/>
      <x:c r="E1" s="4"/>
    </x:row>
    <x:row r="2" ht="28" customHeight="1">
      <x:c r="A2" s="10" t="str">
        <x:v>Anchor valuation method. CoreWeave + AMD/Neocloud stabilized NOI is valued directly; uncontracted capacity is probability-weighted and mining receives minimal residual value.</x:v>
      </x:c>
      <x:c r="B2" s="10"/>
      <x:c r="C2" s="10"/>
      <x:c r="D2" s="10"/>
      <x:c r="E2" s="10"/>
    </x:row>
    <x:row r="4">
      <x:c r="A4" s="19" t="str">
        <x:v>Metric</x:v>
      </x:c>
      <x:c r="B4" s="19" t="str">
        <x:v>Bear</x:v>
      </x:c>
      <x:c r="C4" s="19" t="str">
        <x:v>Base</x:v>
      </x:c>
      <x:c r="D4" s="19" t="str">
        <x:v>Bull</x:v>
      </x:c>
    </x:row>
    <x:row r="5">
      <x:c r="A5" t="str">
        <x:v>CoreWeave annual revenue ($bn)</x:v>
      </x:c>
      <x:c r="B5" s="98" t="n">
        <x:v>0.85</x:v>
      </x:c>
      <x:c r="C5" s="98" t="n">
        <x:v>0.85</x:v>
      </x:c>
      <x:c r="D5" s="98" t="n">
        <x:v>0.85</x:v>
      </x:c>
    </x:row>
    <x:row r="6">
      <x:c r="A6" t="str">
        <x:v>CoreWeave NOI margin</x:v>
      </x:c>
      <x:c r="B6" s="78" t="n">
        <x:v>0.75</x:v>
      </x:c>
      <x:c r="C6" s="78" t="n">
        <x:v>0.825</x:v>
      </x:c>
      <x:c r="D6" s="78" t="n">
        <x:v>0.85</x:v>
      </x:c>
    </x:row>
    <x:row r="7">
      <x:c r="A7" t="str">
        <x:v>CoreWeave stabilized NOI ($bn)</x:v>
      </x:c>
      <x:c r="B7" s="56" t="n">
        <x:f>B5*B6</x:f>
        <x:v>0.6375</x:v>
      </x:c>
      <x:c r="C7" s="56" t="n">
        <x:f>C5*C6</x:f>
        <x:v>0.7012499999999999</x:v>
      </x:c>
      <x:c r="D7" s="56" t="n">
        <x:f>D5*D6</x:f>
        <x:v>0.7224999999999999</x:v>
      </x:c>
    </x:row>
    <x:row r="8">
      <x:c r="A8" t="str">
        <x:v>AMD/Neocloud annual revenue ($bn)</x:v>
      </x:c>
      <x:c r="B8" s="106" t="n">
        <x:v>0.933</x:v>
      </x:c>
      <x:c r="C8" s="106" t="n">
        <x:v>0.933</x:v>
      </x:c>
      <x:c r="D8" s="106" t="n">
        <x:v>0.933</x:v>
      </x:c>
    </x:row>
    <x:row r="9">
      <x:c r="A9" t="str">
        <x:v>AMD/Neocloud NOI margin</x:v>
      </x:c>
      <x:c r="B9" s="104" t="n">
        <x:v>0.65</x:v>
      </x:c>
      <x:c r="C9" s="104" t="n">
        <x:v>0.78</x:v>
      </x:c>
      <x:c r="D9" s="104" t="n">
        <x:v>0.83</x:v>
      </x:c>
    </x:row>
    <x:row r="10">
      <x:c r="A10" t="str">
        <x:v>AMD/Neocloud stabilized NOI ($bn)</x:v>
      </x:c>
      <x:c r="B10" s="56" t="n">
        <x:f>B8*B9</x:f>
        <x:v>0.60645</x:v>
      </x:c>
      <x:c r="C10" s="56" t="n">
        <x:f>C8*C9</x:f>
        <x:v>0.72774</x:v>
      </x:c>
      <x:c r="D10" s="56" t="n">
        <x:f>D8*D9</x:f>
        <x:v>0.77439</x:v>
      </x:c>
    </x:row>
    <x:row r="11">
      <x:c r="A11" t="str">
        <x:v>Total contracted stabilized NOI ($bn)</x:v>
      </x:c>
      <x:c r="B11" s="56" t="n">
        <x:f>B7+B10</x:f>
        <x:v>1.24395</x:v>
      </x:c>
      <x:c r="C11" s="56" t="n">
        <x:f>C7+C10</x:f>
        <x:v>1.42899</x:v>
      </x:c>
      <x:c r="D11" s="56" t="n">
        <x:f>D7+D10</x:f>
        <x:v>1.49689</x:v>
      </x:c>
    </x:row>
    <x:row r="12">
      <x:c r="A12" t="str">
        <x:v>Contracted NOI multiple</x:v>
      </x:c>
      <x:c r="B12" s="108" t="n">
        <x:v>10</x:v>
      </x:c>
      <x:c r="C12" s="108" t="n">
        <x:v>14</x:v>
      </x:c>
      <x:c r="D12" s="108" t="n">
        <x:v>18</x:v>
      </x:c>
    </x:row>
    <x:row r="13">
      <x:c r="A13" t="str">
        <x:v>Contracted asset EV ($bn)</x:v>
      </x:c>
      <x:c r="B13" s="56" t="n">
        <x:f>B11*B12</x:f>
        <x:v>12.439499999999999</x:v>
      </x:c>
      <x:c r="C13" s="56" t="n">
        <x:f>C11*C12</x:f>
        <x:v>20.00586</x:v>
      </x:c>
      <x:c r="D13" s="56" t="n">
        <x:f>D11*D12</x:f>
        <x:v>26.944020000000002</x:v>
      </x:c>
    </x:row>
    <x:row r="14">
      <x:c r="A14" t="str">
        <x:v>Pipeline option PV ($bn)</x:v>
      </x:c>
      <x:c r="B14" s="94" t="n">
        <x:f>Contracts!B33</x:f>
        <x:v>0.5309461336657563</x:v>
      </x:c>
      <x:c r="C14" s="94" t="n">
        <x:f>Contracts!C33</x:f>
        <x:v>4.035842102427148</x:v>
      </x:c>
      <x:c r="D14" s="94" t="n">
        <x:f>Contracts!D33</x:f>
        <x:v>15.905376693025069</x:v>
      </x:c>
    </x:row>
    <x:row r="15">
      <x:c r="A15" t="str">
        <x:v>Residual mining / asset value ($bn)</x:v>
      </x:c>
      <x:c r="B15" s="56" t="n">
        <x:v>0.05</x:v>
      </x:c>
      <x:c r="C15" s="56" t="n">
        <x:v>0.15</x:v>
      </x:c>
      <x:c r="D15" s="56" t="n">
        <x:v>0.3</x:v>
      </x:c>
    </x:row>
    <x:row r="16">
      <x:c r="A16" t="str">
        <x:v>Projected stabilized net debt ($bn)</x:v>
      </x:c>
      <x:c r="B16" s="94" t="n">
        <x:f>CapitalStructure!B24</x:f>
        <x:v>6.605589999999999</x:v>
      </x:c>
      <x:c r="C16" s="94" t="n">
        <x:f>CapitalStructure!C24</x:f>
        <x:v>4.480589999999999</x:v>
      </x:c>
      <x:c r="D16" s="94" t="n">
        <x:f>CapitalStructure!D24</x:f>
        <x:v>3.48059</x:v>
      </x:c>
    </x:row>
    <x:row r="17">
      <x:c r="A17" t="str">
        <x:v>Equity value ($bn)</x:v>
      </x:c>
      <x:c r="B17" s="94" t="n">
        <x:f>B13+B14+B15-B16</x:f>
        <x:v>6.414856133665756</x:v>
      </x:c>
      <x:c r="C17" s="94" t="n">
        <x:f>C13+C14+C15-C16</x:f>
        <x:v>19.711112102427144</x:v>
      </x:c>
      <x:c r="D17" s="94" t="n">
        <x:f>D13+D14+D15-D16</x:f>
        <x:v>39.66880669302507</x:v>
      </x:c>
    </x:row>
    <x:row r="18">
      <x:c r="A18" t="str">
        <x:v>Valuation shares (mm)</x:v>
      </x:c>
      <x:c r="B18" s="96" t="n">
        <x:f>CapitalStructure!B25</x:f>
        <x:v>490</x:v>
      </x:c>
      <x:c r="C18" s="96" t="n">
        <x:f>CapitalStructure!C25</x:f>
        <x:v>540</x:v>
      </x:c>
      <x:c r="D18" s="96" t="n">
        <x:f>CapitalStructure!D25</x:f>
        <x:v>555</x:v>
      </x:c>
    </x:row>
    <x:row r="19">
      <x:c r="A19" s="110" t="str">
        <x:v>Value / share</x:v>
      </x:c>
      <x:c r="B19" s="111" t="n">
        <x:f>MAX(0,B17)*1000/B18</x:f>
        <x:v>13.091543129930114</x:v>
      </x:c>
      <x:c r="C19" s="111" t="n">
        <x:f>MAX(0,C17)*1000/C18</x:f>
        <x:v>36.50205944893916</x:v>
      </x:c>
      <x:c r="D19" s="111" t="n">
        <x:f>MAX(0,D17)*1000/D18</x:f>
        <x:v>71.47532737481995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16" hidden="0" customWidth="1"/>
    <x:col min="4" max="4" width="35" hidden="0" customWidth="1"/>
    <x:col min="5" max="5" width="12" hidden="0" customWidth="1"/>
  </x:cols>
  <x:sheetData>
    <x:row r="1" ht="28" customHeight="1">
      <x:c r="A1" s="4" t="str">
        <x:v>Forward EBITDA Valuation Cross-Checks</x:v>
      </x:c>
      <x:c r="B1" s="4"/>
      <x:c r="C1" s="4"/>
      <x:c r="D1" s="4"/>
      <x:c r="E1" s="4"/>
    </x:row>
    <x:row r="2" ht="28" customHeight="1">
      <x:c r="A2" s="10" t="str">
        <x:v>2028 and 2030 methods value consolidated operating EBITDA after the migration away from mining. Multiples remain below mature data-center references.</x:v>
      </x:c>
      <x:c r="B2" s="10"/>
      <x:c r="C2" s="10"/>
      <x:c r="D2" s="10"/>
      <x:c r="E2" s="10"/>
    </x:row>
    <x:row r="4">
      <x:c r="A4" s="49" t="str">
        <x:v>Peer / Asset Context</x:v>
      </x:c>
      <x:c r="B4" s="49" t="str">
        <x:v>Peer / Asset Context</x:v>
      </x:c>
      <x:c r="C4" s="49" t="str">
        <x:v>Peer / Asset Context</x:v>
      </x:c>
      <x:c r="D4" s="49" t="str">
        <x:v>Peer / Asset Context</x:v>
      </x:c>
      <x:c r="E4" s="49" t="str">
        <x:v>Peer / Asset Context</x:v>
      </x:c>
    </x:row>
    <x:row r="5">
      <x:c r="A5" s="19" t="str">
        <x:v>Reference</x:v>
      </x:c>
      <x:c r="B5" s="19" t="str">
        <x:v>Metric / transaction</x:v>
      </x:c>
      <x:c r="C5" s="19" t="str">
        <x:v>Value</x:v>
      </x:c>
      <x:c r="D5" s="19" t="str">
        <x:v>Use</x:v>
      </x:c>
      <x:c r="E5" s="19" t="str">
        <x:v>Source</x:v>
      </x:c>
    </x:row>
    <x:row r="6">
      <x:c r="A6" t="str">
        <x:v>Equinix</x:v>
      </x:c>
      <x:c r="B6" t="str">
        <x:v>EV/EBITDA</x:v>
      </x:c>
      <x:c r="C6" t="str">
        <x:v>27.18x</x:v>
      </x:c>
      <x:c r="D6" t="str">
        <x:v>Mature data-center multiple context</x:v>
      </x:c>
      <x:c r="E6" t="str">
        <x:v>S5</x:v>
      </x:c>
    </x:row>
    <x:row r="7">
      <x:c r="A7" t="str">
        <x:v>Digital Realty / Blackstone Virginia assets</x:v>
      </x:c>
      <x:c r="B7" t="str">
        <x:v>Transaction asset value</x:v>
      </x:c>
      <x:c r="C7" t="str">
        <x:v>$7.8B</x:v>
      </x:c>
      <x:c r="D7" t="str">
        <x:v>Mature hyperscale asset context</x:v>
      </x:c>
      <x:c r="E7" t="str">
        <x:v>S6</x:v>
      </x:c>
    </x:row>
    <x:row r="8">
      <x:c r="A8" t="str">
        <x:v>Core Scientific CoreWeave contracts</x:v>
      </x:c>
      <x:c r="B8" t="str">
        <x:v>Anticipated profit margin</x:v>
      </x:c>
      <x:c r="C8" t="str">
        <x:v>80-85%</x:v>
      </x:c>
      <x:c r="D8" t="str">
        <x:v>Direct contract economics</x:v>
      </x:c>
      <x:c r="E8" t="str">
        <x:v>S3</x:v>
      </x:c>
    </x:row>
    <x:row r="11">
      <x:c r="A11" s="49" t="str">
        <x:v>2028 Forward EV / EBITDA</x:v>
      </x:c>
      <x:c r="B11" s="49" t="str">
        <x:v>2028 Forward EV / EBITDA</x:v>
      </x:c>
      <x:c r="C11" s="49" t="str">
        <x:v>2028 Forward EV / EBITDA</x:v>
      </x:c>
      <x:c r="D11" s="49" t="str">
        <x:v>2028 Forward EV / EBITDA</x:v>
      </x:c>
      <x:c r="E11" s="49" t="str">
        <x:v>2028 Forward EV / EBITDA</x:v>
      </x:c>
    </x:row>
    <x:row r="12">
      <x:c r="A12" s="19" t="str">
        <x:v>Metric</x:v>
      </x:c>
      <x:c r="B12" s="19" t="str">
        <x:v>Bear</x:v>
      </x:c>
      <x:c r="C12" s="19" t="str">
        <x:v>Base</x:v>
      </x:c>
      <x:c r="D12" s="19" t="str">
        <x:v>Bull</x:v>
      </x:c>
    </x:row>
    <x:row r="13">
      <x:c r="A13" t="str">
        <x:v>2028 revenue ($bn)</x:v>
      </x:c>
      <x:c r="B13" s="94" t="n">
        <x:f>Forecast!D10</x:f>
        <x:v>1.4</x:v>
      </x:c>
      <x:c r="C13" s="94" t="n">
        <x:f>Forecast!D31</x:f>
        <x:v>1.8</x:v>
      </x:c>
      <x:c r="D13" s="94" t="n">
        <x:f>Forecast!D52</x:f>
        <x:v>2.133</x:v>
      </x:c>
    </x:row>
    <x:row r="14">
      <x:c r="A14" t="str">
        <x:v>2028 EBITDA margin</x:v>
      </x:c>
      <x:c r="B14" s="114" t="n">
        <x:f>Forecast!D12</x:f>
        <x:v>0.58</x:v>
      </x:c>
      <x:c r="C14" s="114" t="n">
        <x:f>Forecast!D33</x:f>
        <x:v>0.7</x:v>
      </x:c>
      <x:c r="D14" s="114" t="n">
        <x:f>Forecast!D54</x:f>
        <x:v>0.74</x:v>
      </x:c>
    </x:row>
    <x:row r="15">
      <x:c r="A15" t="str">
        <x:v>2028 EBITDA ($bn)</x:v>
      </x:c>
      <x:c r="B15" s="94" t="n">
        <x:f>Forecast!D13</x:f>
        <x:v>0.8119999999999999</x:v>
      </x:c>
      <x:c r="C15" s="94" t="n">
        <x:f>Forecast!D34</x:f>
        <x:v>1.26</x:v>
      </x:c>
      <x:c r="D15" s="94" t="n">
        <x:f>Forecast!D55</x:f>
        <x:v>1.57842</x:v>
      </x:c>
    </x:row>
    <x:row r="16">
      <x:c r="A16" t="str">
        <x:v>EV / EBITDA multiple</x:v>
      </x:c>
      <x:c r="B16" s="80" t="n">
        <x:v>12</x:v>
      </x:c>
      <x:c r="C16" s="80" t="n">
        <x:v>18</x:v>
      </x:c>
      <x:c r="D16" s="80" t="n">
        <x:v>23</x:v>
      </x:c>
    </x:row>
    <x:row r="17">
      <x:c r="A17" t="str">
        <x:v>2028 enterprise value ($bn)</x:v>
      </x:c>
      <x:c r="B17" s="56" t="n">
        <x:f>B15*B16</x:f>
        <x:v>9.744</x:v>
      </x:c>
      <x:c r="C17" s="56" t="n">
        <x:f>C15*C16</x:f>
        <x:v>22.68</x:v>
      </x:c>
      <x:c r="D17" s="56" t="n">
        <x:f>D15*D16</x:f>
        <x:v>36.30366</x:v>
      </x:c>
    </x:row>
    <x:row r="18">
      <x:c r="A18" t="str">
        <x:v>2028 projected net debt ($bn)</x:v>
      </x:c>
      <x:c r="B18" s="106" t="n">
        <x:v>6.5</x:v>
      </x:c>
      <x:c r="C18" s="106" t="n">
        <x:v>5</x:v>
      </x:c>
      <x:c r="D18" s="106" t="n">
        <x:v>4</x:v>
      </x:c>
    </x:row>
    <x:row r="19">
      <x:c r="A19" t="str">
        <x:v>2028 equity value ($bn)</x:v>
      </x:c>
      <x:c r="B19" s="56" t="n">
        <x:f>B17-B18</x:f>
        <x:v>3.2439999999999998</x:v>
      </x:c>
      <x:c r="C19" s="56" t="n">
        <x:f>C17-C18</x:f>
        <x:v>17.68</x:v>
      </x:c>
      <x:c r="D19" s="56" t="n">
        <x:f>D17-D18</x:f>
        <x:v>32.30366</x:v>
      </x:c>
    </x:row>
    <x:row r="20">
      <x:c r="A20" t="str">
        <x:v>Discount rate</x:v>
      </x:c>
      <x:c r="B20" s="104" t="n">
        <x:v>0.14</x:v>
      </x:c>
      <x:c r="C20" s="104" t="n">
        <x:v>0.115</x:v>
      </x:c>
      <x:c r="D20" s="104" t="n">
        <x:v>0.1</x:v>
      </x:c>
    </x:row>
    <x:row r="21">
      <x:c r="A21" t="str">
        <x:v>PV factor (2.4 years)</x:v>
      </x:c>
      <x:c r="B21" s="56" t="n">
        <x:f>1/(1+B20)^2.4</x:f>
        <x:v>0.730177349536526</x:v>
      </x:c>
      <x:c r="C21" s="56" t="n">
        <x:f>1/(1+C20)^2.4</x:f>
        <x:v>0.7700879331265156</x:v>
      </x:c>
      <x:c r="D21" s="56" t="n">
        <x:f>1/(1+D20)^2.4</x:f>
        <x:v>0.795531820376998</x:v>
      </x:c>
    </x:row>
    <x:row r="22">
      <x:c r="A22" t="str">
        <x:v>PV equity value ($bn)</x:v>
      </x:c>
      <x:c r="B22" s="56" t="n">
        <x:f>B19*B21</x:f>
        <x:v>2.36869532189649</x:v>
      </x:c>
      <x:c r="C22" s="56" t="n">
        <x:f>C19*C21</x:f>
        <x:v>13.615154657676795</x:v>
      </x:c>
      <x:c r="D22" s="56" t="n">
        <x:f>D19*D21</x:f>
        <x:v>25.698589444639616</x:v>
      </x:c>
    </x:row>
    <x:row r="23">
      <x:c r="A23" t="str">
        <x:v>Diluted shares (mm)</x:v>
      </x:c>
      <x:c r="B23" s="116" t="n">
        <x:v>500</x:v>
      </x:c>
      <x:c r="C23" s="116" t="n">
        <x:v>535</x:v>
      </x:c>
      <x:c r="D23" s="116" t="n">
        <x:v>550</x:v>
      </x:c>
    </x:row>
    <x:row r="24">
      <x:c r="A24" s="86" t="str">
        <x:v>Value / share</x:v>
      </x:c>
      <x:c r="B24" s="87" t="n">
        <x:f>MAX(0,B22)*1000/B23</x:f>
        <x:v>4.73739064379298</x:v>
      </x:c>
      <x:c r="C24" s="87" t="n">
        <x:f>MAX(0,C22)*1000/C23</x:f>
        <x:v>25.448887210610835</x:v>
      </x:c>
      <x:c r="D24" s="87" t="n">
        <x:f>MAX(0,D22)*1000/D23</x:f>
        <x:v>46.72470808116294</x:v>
      </x:c>
    </x:row>
    <x:row r="27">
      <x:c r="A27" s="49" t="str">
        <x:v>2030 Exit EV / EBITDA</x:v>
      </x:c>
      <x:c r="B27" s="49" t="str">
        <x:v>2030 Exit EV / EBITDA</x:v>
      </x:c>
      <x:c r="C27" s="49" t="str">
        <x:v>2030 Exit EV / EBITDA</x:v>
      </x:c>
      <x:c r="D27" s="49" t="str">
        <x:v>2030 Exit EV / EBITDA</x:v>
      </x:c>
      <x:c r="E27" s="49" t="str">
        <x:v>2030 Exit EV / EBITDA</x:v>
      </x:c>
    </x:row>
    <x:row r="28">
      <x:c r="A28" s="19" t="str">
        <x:v>Metric</x:v>
      </x:c>
      <x:c r="B28" s="19" t="str">
        <x:v>Bear</x:v>
      </x:c>
      <x:c r="C28" s="19" t="str">
        <x:v>Base</x:v>
      </x:c>
      <x:c r="D28" s="19" t="str">
        <x:v>Bull</x:v>
      </x:c>
    </x:row>
    <x:row r="29">
      <x:c r="A29" t="str">
        <x:v>2030 revenue ($bn)</x:v>
      </x:c>
      <x:c r="B29" s="94" t="n">
        <x:f>Forecast!F10</x:f>
        <x:v>1.9</x:v>
      </x:c>
      <x:c r="C29" s="94" t="n">
        <x:f>Forecast!F31</x:f>
        <x:v>2.533</x:v>
      </x:c>
      <x:c r="D29" s="94" t="n">
        <x:f>Forecast!F52</x:f>
        <x:v>3.183</x:v>
      </x:c>
    </x:row>
    <x:row r="30">
      <x:c r="A30" t="str">
        <x:v>2030 EBITDA margin</x:v>
      </x:c>
      <x:c r="B30" s="114" t="n">
        <x:f>Forecast!F12</x:f>
        <x:v>0.64</x:v>
      </x:c>
      <x:c r="C30" s="114" t="n">
        <x:f>Forecast!F33</x:f>
        <x:v>0.75</x:v>
      </x:c>
      <x:c r="D30" s="114" t="n">
        <x:f>Forecast!F54</x:f>
        <x:v>0.79</x:v>
      </x:c>
    </x:row>
    <x:row r="31">
      <x:c r="A31" t="str">
        <x:v>2030 EBITDA ($bn)</x:v>
      </x:c>
      <x:c r="B31" s="94" t="n">
        <x:f>Forecast!F13</x:f>
        <x:v>1.216</x:v>
      </x:c>
      <x:c r="C31" s="94" t="n">
        <x:f>Forecast!F34</x:f>
        <x:v>1.89975</x:v>
      </x:c>
      <x:c r="D31" s="94" t="n">
        <x:f>Forecast!F55</x:f>
        <x:v>2.51457</x:v>
      </x:c>
    </x:row>
    <x:row r="32">
      <x:c r="A32" t="str">
        <x:v>Exit EV / EBITDA</x:v>
      </x:c>
      <x:c r="B32" s="80" t="n">
        <x:v>13</x:v>
      </x:c>
      <x:c r="C32" s="80" t="n">
        <x:v>19</x:v>
      </x:c>
      <x:c r="D32" s="80" t="n">
        <x:v>24</x:v>
      </x:c>
    </x:row>
    <x:row r="33">
      <x:c r="A33" t="str">
        <x:v>2030 enterprise value ($bn)</x:v>
      </x:c>
      <x:c r="B33" s="56" t="n">
        <x:f>B31*B32</x:f>
        <x:v>15.808</x:v>
      </x:c>
      <x:c r="C33" s="56" t="n">
        <x:f>C31*C32</x:f>
        <x:v>36.09525</x:v>
      </x:c>
      <x:c r="D33" s="56" t="n">
        <x:f>D31*D32</x:f>
        <x:v>60.34968</x:v>
      </x:c>
    </x:row>
    <x:row r="34">
      <x:c r="A34" t="str">
        <x:v>2030 net debt ($bn)</x:v>
      </x:c>
      <x:c r="B34" s="106" t="n">
        <x:v>6</x:v>
      </x:c>
      <x:c r="C34" s="106" t="n">
        <x:v>4.5</x:v>
      </x:c>
      <x:c r="D34" s="106" t="n">
        <x:v>3.5</x:v>
      </x:c>
    </x:row>
    <x:row r="35">
      <x:c r="A35" t="str">
        <x:v>2030 equity value ($bn)</x:v>
      </x:c>
      <x:c r="B35" s="56" t="n">
        <x:f>B33-B34</x:f>
        <x:v>9.808</x:v>
      </x:c>
      <x:c r="C35" s="56" t="n">
        <x:f>C33-C34</x:f>
        <x:v>31.59525</x:v>
      </x:c>
      <x:c r="D35" s="56" t="n">
        <x:f>D33-D34</x:f>
        <x:v>56.84968</x:v>
      </x:c>
    </x:row>
    <x:row r="36">
      <x:c r="A36" t="str">
        <x:v>Discount rate</x:v>
      </x:c>
      <x:c r="B36" s="104" t="n">
        <x:v>0.14</x:v>
      </x:c>
      <x:c r="C36" s="104" t="n">
        <x:v>0.115</x:v>
      </x:c>
      <x:c r="D36" s="104" t="n">
        <x:v>0.1</x:v>
      </x:c>
    </x:row>
    <x:row r="37">
      <x:c r="A37" t="str">
        <x:v>PV factor (4.4 years)</x:v>
      </x:c>
      <x:c r="B37" s="56" t="n">
        <x:f>1/(1+B36)^4.4</x:f>
        <x:v>0.5618477604928638</x:v>
      </x:c>
      <x:c r="C37" s="56" t="n">
        <x:f>1/(1+C36)^4.4</x:f>
        <x:v>0.6194276443335</x:v>
      </x:c>
      <x:c r="D37" s="56" t="n">
        <x:f>1/(1+D36)^4.4</x:f>
        <x:v>0.6574643143611553</x:v>
      </x:c>
    </x:row>
    <x:row r="38">
      <x:c r="A38" t="str">
        <x:v>PV equity value ($bn)</x:v>
      </x:c>
      <x:c r="B38" s="56" t="n">
        <x:f>B35*B37</x:f>
        <x:v>5.510602834914008</x:v>
      </x:c>
      <x:c r="C38" s="56" t="n">
        <x:f>C35*C37</x:f>
        <x:v>19.570971279628015</x:v>
      </x:c>
      <x:c r="D38" s="56" t="n">
        <x:f>D35*D37</x:f>
        <x:v>37.37663588285108</x:v>
      </x:c>
    </x:row>
    <x:row r="39">
      <x:c r="A39" t="str">
        <x:v>Diluted shares (mm)</x:v>
      </x:c>
      <x:c r="B39" s="116" t="n">
        <x:v>505</x:v>
      </x:c>
      <x:c r="C39" s="116" t="n">
        <x:v>540</x:v>
      </x:c>
      <x:c r="D39" s="116" t="n">
        <x:v>555</x:v>
      </x:c>
    </x:row>
    <x:row r="40">
      <x:c r="A40" t="str">
        <x:v>Value / share</x:v>
      </x:c>
      <x:c r="B40" s="56" t="n">
        <x:f>MAX(0,B38)*1000/B39</x:f>
        <x:v>10.912084821611897</x:v>
      </x:c>
      <x:c r="C40" s="56" t="n">
        <x:f>MAX(0,C38)*1000/C39</x:f>
        <x:v>36.24253940671854</x:v>
      </x:c>
      <x:c r="D40" s="56" t="n">
        <x:f>MAX(0,D38)*1000/D39</x:f>
        <x:v>67.34528987901096</x:v>
      </x:c>
    </x:row>
  </x:sheetData>
  <x:mergeCells>
    <x:mergeCell ref="A1:E1"/>
    <x:mergeCell ref="A2:E2"/>
    <x:mergeCell ref="A4:E4"/>
    <x:mergeCell ref="A11:E11"/>
    <x:mergeCell ref="A27:E2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3" max="13" width="21" hidden="0" customWidth="1"/>
    <x:col min="14" max="14" width="21" hidden="0" customWidth="1"/>
    <x:col min="16" max="16" width="25" hidden="0" customWidth="1"/>
    <x:col min="17" max="17" width="16" hidden="0" customWidth="1"/>
  </x:cols>
  <x:sheetData>
    <x:row r="1" ht="28" customHeight="1">
      <x:c r="A1" s="4" t="str">
        <x:v>DCF — Conservative Cross-Check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8" customHeight="1">
      <x:c r="A2" s="10" t="str">
        <x:v>Explicit FCFF includes heavy development capex. Terminal value normalizes maintenance capex separately so current buildout spending is not assumed forever.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4">
      <x:c r="A4" s="19" t="str">
        <x:v>Metric</x:v>
      </x:c>
      <x:c r="B4" s="19" t="str">
        <x:v>2026E</x:v>
      </x:c>
      <x:c r="C4" s="19" t="str">
        <x:v>2027E</x:v>
      </x:c>
      <x:c r="D4" s="19" t="str">
        <x:v>2028E</x:v>
      </x:c>
      <x:c r="E4" s="19" t="str">
        <x:v>2029E</x:v>
      </x:c>
      <x:c r="F4" s="19" t="str">
        <x:v>2030E</x:v>
      </x:c>
      <x:c r="G4" s="19" t="str">
        <x:v>2031E</x:v>
      </x:c>
      <x:c r="H4" s="19" t="str">
        <x:v>2032E</x:v>
      </x:c>
      <x:c r="I4" s="19" t="str">
        <x:v>2033E</x:v>
      </x:c>
      <x:c r="J4" s="19" t="str">
        <x:v>2034E</x:v>
      </x:c>
      <x:c r="K4" s="19" t="str">
        <x:v>2035E</x:v>
      </x:c>
    </x:row>
    <x:row r="5">
      <x:c r="A5" s="49" t="str">
        <x:v>Bear DCF</x:v>
      </x:c>
      <x:c r="B5" s="49" t="str">
        <x:v>Bear DCF</x:v>
      </x:c>
      <x:c r="C5" s="49" t="str">
        <x:v>Bear DCF</x:v>
      </x:c>
      <x:c r="D5" s="49" t="str">
        <x:v>Bear DCF</x:v>
      </x:c>
      <x:c r="E5" s="49" t="str">
        <x:v>Bear DCF</x:v>
      </x:c>
      <x:c r="F5" s="49" t="str">
        <x:v>Bear DCF</x:v>
      </x:c>
      <x:c r="G5" s="49" t="str">
        <x:v>Bear DCF</x:v>
      </x:c>
      <x:c r="H5" s="49" t="str">
        <x:v>Bear DCF</x:v>
      </x:c>
      <x:c r="I5" s="49" t="str">
        <x:v>Bear DCF</x:v>
      </x:c>
      <x:c r="J5" s="49" t="str">
        <x:v>Bear DCF</x:v>
      </x:c>
      <x:c r="K5" s="49" t="str">
        <x:v>Bear DCF</x:v>
      </x:c>
      <x:c r="M5" t="str">
        <x:v>WACC</x:v>
      </x:c>
      <x:c r="N5" s="60" t="n">
        <x:v>0.14</x:v>
      </x:c>
    </x:row>
    <x:row r="6">
      <x:c r="A6" t="str">
        <x:v>FCFF ($bn)</x:v>
      </x:c>
      <x:c r="B6" s="94" t="n">
        <x:f>Forecast!B21</x:f>
        <x:v>-2.083</x:v>
      </x:c>
      <x:c r="C6" s="94" t="n">
        <x:f>Forecast!C21</x:f>
        <x:v>-2.8635800000000002</x:v>
      </x:c>
      <x:c r="D6" s="94" t="n">
        <x:f>Forecast!D21</x:f>
        <x:v>-2.1085399999999996</x:v>
      </x:c>
      <x:c r="E6" s="94" t="n">
        <x:f>Forecast!E21</x:f>
        <x:v>-1.2877250000000002</x:v>
      </x:c>
      <x:c r="F6" s="94" t="n">
        <x:f>Forecast!F21</x:f>
        <x:v>-0.78749</x:v>
      </x:c>
      <x:c r="G6" s="94" t="n">
        <x:f>Forecast!G21</x:f>
        <x:v>-0.3226</x:v>
      </x:c>
      <x:c r="H6" s="94" t="n">
        <x:f>Forecast!H21</x:f>
        <x:v>0.04344999999999999</x:v>
      </x:c>
      <x:c r="I6" s="94" t="n">
        <x:f>Forecast!I21</x:f>
        <x:v>0.2932800000000001</x:v>
      </x:c>
      <x:c r="J6" s="94" t="n">
        <x:f>Forecast!J21</x:f>
        <x:v>0.4475199999999999</x:v>
      </x:c>
      <x:c r="K6" s="94" t="n">
        <x:f>Forecast!K21</x:f>
        <x:v>0.6017600000000001</x:v>
      </x:c>
      <x:c r="M6" t="str">
        <x:v>Terminal growth</x:v>
      </x:c>
      <x:c r="N6" s="60" t="n">
        <x:v>0.02</x:v>
      </x:c>
    </x:row>
    <x:row r="7">
      <x:c r="A7" t="str">
        <x:v>Discount period</x:v>
      </x:c>
      <x:c r="B7" s="38" t="n">
        <x:v>0.4</x:v>
      </x:c>
      <x:c r="C7" s="38" t="n">
        <x:v>1.4</x:v>
      </x:c>
      <x:c r="D7" s="38" t="n">
        <x:v>2.4</x:v>
      </x:c>
      <x:c r="E7" s="38" t="n">
        <x:v>3.4</x:v>
      </x:c>
      <x:c r="F7" s="38" t="n">
        <x:v>4.4</x:v>
      </x:c>
      <x:c r="G7" s="38" t="n">
        <x:v>5.4</x:v>
      </x:c>
      <x:c r="H7" s="38" t="n">
        <x:v>6.4</x:v>
      </x:c>
      <x:c r="I7" s="38" t="n">
        <x:v>7.4</x:v>
      </x:c>
      <x:c r="J7" s="38" t="n">
        <x:v>8.4</x:v>
      </x:c>
      <x:c r="K7" s="38" t="n">
        <x:v>9.4</x:v>
      </x:c>
      <x:c r="M7" t="str">
        <x:v>Terminal maintenance capex / revenue</x:v>
      </x:c>
      <x:c r="N7" s="60" t="n">
        <x:v>0.12</x:v>
      </x:c>
    </x:row>
    <x:row r="8">
      <x:c r="A8" t="str">
        <x:v>Discount factor</x:v>
      </x:c>
      <x:c r="B8" s="118" t="n">
        <x:f>1/(1+$N$5)^B7</x:f>
        <x:v>0.9489384834576693</x:v>
      </x:c>
      <x:c r="C8" s="118" t="n">
        <x:f>1/(1+$N$5)^C7</x:f>
        <x:v>0.8324021784716397</x:v>
      </x:c>
      <x:c r="D8" s="118" t="n">
        <x:f>1/(1+$N$5)^D7</x:f>
        <x:v>0.730177349536526</x:v>
      </x:c>
      <x:c r="E8" s="118" t="n">
        <x:f>1/(1+$N$5)^E7</x:f>
        <x:v>0.6405064469618649</x:v>
      </x:c>
      <x:c r="F8" s="118" t="n">
        <x:f>1/(1+$N$5)^F7</x:f>
        <x:v>0.5618477604928638</x:v>
      </x:c>
      <x:c r="G8" s="118" t="n">
        <x:f>1/(1+$N$5)^G7</x:f>
        <x:v>0.4928489127130384</x:v>
      </x:c>
      <x:c r="H8" s="118" t="n">
        <x:f>1/(1+$N$5)^H7</x:f>
        <x:v>0.43232360764301603</x:v>
      </x:c>
      <x:c r="I8" s="118" t="n">
        <x:f>1/(1+$N$5)^I7</x:f>
        <x:v>0.37923123477457543</x:v>
      </x:c>
      <x:c r="J8" s="118" t="n">
        <x:f>1/(1+$N$5)^J7</x:f>
        <x:v>0.33265897787243454</x:v>
      </x:c>
      <x:c r="K8" s="118" t="n">
        <x:f>1/(1+$N$5)^K7</x:f>
        <x:v>0.29180612094073205</x:v>
      </x:c>
    </x:row>
    <x:row r="9">
      <x:c r="A9" t="str">
        <x:v>PV FCFF ($bn)</x:v>
      </x:c>
      <x:c r="B9" s="56" t="n">
        <x:f>B6*B8</x:f>
        <x:v>-1.9766388610423253</x:v>
      </x:c>
      <x:c r="C9" s="56" t="n">
        <x:f>C6*C8</x:f>
        <x:v>-2.383650230227818</x:v>
      </x:c>
      <x:c r="D9" s="56" t="n">
        <x:f>D6*D8</x:f>
        <x:v>-1.5396081485917463</x:v>
      </x:c>
      <x:c r="E9" s="56" t="n">
        <x:f>E6*E8</x:f>
        <x:v>-0.8247961644139676</x:v>
      </x:c>
      <x:c r="F9" s="56" t="n">
        <x:f>F6*F8</x:f>
        <x:v>-0.4424494929105253</x:v>
      </x:c>
      <x:c r="G9" s="56" t="n">
        <x:f>G6*G8</x:f>
        <x:v>-0.15899305924122617</x:v>
      </x:c>
      <x:c r="H9" s="56" t="n">
        <x:f>H6*H8</x:f>
        <x:v>0.018784460752089043</x:v>
      </x:c>
      <x:c r="I9" s="56" t="n">
        <x:f>I6*I8</x:f>
        <x:v>0.11122093653468752</x:v>
      </x:c>
      <x:c r="J9" s="56" t="n">
        <x:f>J6*J8</x:f>
        <x:v>0.1488715457774719</x:v>
      </x:c>
      <x:c r="K9" s="56" t="n">
        <x:f>K6*K8</x:f>
        <x:v>0.17559725133729495</x:v>
      </x:c>
      <x:c r="P9" t="str">
        <x:v>PV explicit FCFF</x:v>
      </x:c>
      <x:c r="Q9" s="56" t="n">
        <x:f>SUM(B9:K9)</x:f>
        <x:v>-6.871661762026066</x:v>
      </x:c>
    </x:row>
    <x:row r="10">
      <x:c r="P10" t="str">
        <x:v>2035 NOPAT proxy</x:v>
      </x:c>
      <x:c r="Q10" s="56" t="n">
        <x:f>MAX(Forecast!K16,0)*(1-21%)</x:f>
        <x:v>1.06176</x:v>
      </x:c>
    </x:row>
    <x:row r="11">
      <x:c r="P11" t="str">
        <x:v>2035 D&amp;A</x:v>
      </x:c>
      <x:c r="Q11" s="56" t="n">
        <x:f>Forecast!K15</x:f>
        <x:v>0.24</x:v>
      </x:c>
    </x:row>
    <x:row r="12">
      <x:c r="P12" t="str">
        <x:v>2035 maintenance capex</x:v>
      </x:c>
      <x:c r="Q12" s="56" t="n">
        <x:f>Forecast!K10*$N$7</x:f>
        <x:v>0.288</x:v>
      </x:c>
    </x:row>
    <x:row r="13">
      <x:c r="P13" t="str">
        <x:v>Normalized terminal FCFF</x:v>
      </x:c>
      <x:c r="Q13" s="56" t="n">
        <x:f>Q10+Q11-Q12</x:f>
        <x:v>1.01376</x:v>
      </x:c>
    </x:row>
    <x:row r="14">
      <x:c r="P14" t="str">
        <x:v>Terminal value</x:v>
      </x:c>
      <x:c r="Q14" s="56" t="n">
        <x:f>Q13*(1+$N$6)/($N$5-$N$6)</x:f>
        <x:v>8.616959999999999</x:v>
      </x:c>
    </x:row>
    <x:row r="15">
      <x:c r="P15" t="str">
        <x:v>PV terminal value</x:v>
      </x:c>
      <x:c r="Q15" s="56" t="n">
        <x:f>Q14*K8</x:f>
        <x:v>2.51448167190145</x:v>
      </x:c>
    </x:row>
    <x:row r="16">
      <x:c r="P16" t="str">
        <x:v>Enterprise value</x:v>
      </x:c>
      <x:c r="Q16" s="56" t="n">
        <x:f>Q9+Q15</x:f>
        <x:v>-4.357180090124616</x:v>
      </x:c>
    </x:row>
    <x:row r="17">
      <x:c r="P17" t="str">
        <x:v>Projected stabilized net debt</x:v>
      </x:c>
      <x:c r="Q17" s="94" t="n">
        <x:f>CapitalStructure!B24</x:f>
        <x:v>6.605589999999999</x:v>
      </x:c>
    </x:row>
    <x:row r="18">
      <x:c r="P18" t="str">
        <x:v>Equity value</x:v>
      </x:c>
      <x:c r="Q18" s="56" t="n">
        <x:f>MAX(0,Q16-Q17)</x:f>
        <x:v>0</x:v>
      </x:c>
    </x:row>
    <x:row r="19">
      <x:c r="P19" t="str">
        <x:v>Shares (mm)</x:v>
      </x:c>
      <x:c r="Q19" s="120" t="n">
        <x:v>490</x:v>
      </x:c>
    </x:row>
    <x:row r="20">
      <x:c r="P20" t="str">
        <x:v>DCF value / share</x:v>
      </x:c>
      <x:c r="Q20" s="56" t="n">
        <x:f>Q18*1000/Q19</x:f>
        <x:v>0</x:v>
      </x:c>
    </x:row>
    <x:row r="22">
      <x:c r="A22" s="49" t="str">
        <x:v>Base DCF</x:v>
      </x:c>
      <x:c r="B22" s="49" t="str">
        <x:v>Base DCF</x:v>
      </x:c>
      <x:c r="C22" s="49" t="str">
        <x:v>Base DCF</x:v>
      </x:c>
      <x:c r="D22" s="49" t="str">
        <x:v>Base DCF</x:v>
      </x:c>
      <x:c r="E22" s="49" t="str">
        <x:v>Base DCF</x:v>
      </x:c>
      <x:c r="F22" s="49" t="str">
        <x:v>Base DCF</x:v>
      </x:c>
      <x:c r="G22" s="49" t="str">
        <x:v>Base DCF</x:v>
      </x:c>
      <x:c r="H22" s="49" t="str">
        <x:v>Base DCF</x:v>
      </x:c>
      <x:c r="I22" s="49" t="str">
        <x:v>Base DCF</x:v>
      </x:c>
      <x:c r="J22" s="49" t="str">
        <x:v>Base DCF</x:v>
      </x:c>
      <x:c r="K22" s="49" t="str">
        <x:v>Base DCF</x:v>
      </x:c>
      <x:c r="M22" t="str">
        <x:v>WACC</x:v>
      </x:c>
      <x:c r="N22" s="78" t="n">
        <x:v>0.115</x:v>
      </x:c>
    </x:row>
    <x:row r="23">
      <x:c r="A23" t="str">
        <x:v>FCFF ($bn)</x:v>
      </x:c>
      <x:c r="B23" s="94" t="n">
        <x:f>Forecast!B42</x:f>
        <x:v>-2.323991</x:v>
      </x:c>
      <x:c r="C23" s="94" t="n">
        <x:f>Forecast!C42</x:f>
        <x:v>-2.99491</x:v>
      </x:c>
      <x:c r="D23" s="94" t="n">
        <x:f>Forecast!D42</x:f>
        <x:v>-1.94034</x:v>
      </x:c>
      <x:c r="E23" s="94" t="n">
        <x:f>Forecast!E42</x:f>
        <x:v>-1.1722994000000002</x:v>
      </x:c>
      <x:c r="F23" s="94" t="n">
        <x:f>Forecast!F42</x:f>
        <x:v>-0.5300466000000001</x:v>
      </x:c>
      <x:c r="G23" s="94" t="n">
        <x:f>Forecast!G42</x:f>
        <x:v>0.10360480000000005</x:v>
      </x:c>
      <x:c r="H23" s="94" t="n">
        <x:f>Forecast!H42</x:f>
        <x:v>0.6846005</x:v>
      </x:c>
      <x:c r="I23" s="94" t="n">
        <x:f>Forecast!I42</x:f>
        <x:v>1.1918518999999996</x:v>
      </x:c>
      <x:c r="J23" s="94" t="n">
        <x:f>Forecast!J42</x:f>
        <x:v>1.4806419000000002</x:v>
      </x:c>
      <x:c r="K23" s="94" t="n">
        <x:f>Forecast!K42</x:f>
        <x:v>1.7379668999999998</x:v>
      </x:c>
      <x:c r="M23" t="str">
        <x:v>Terminal growth</x:v>
      </x:c>
      <x:c r="N23" s="78" t="n">
        <x:v>0.025</x:v>
      </x:c>
    </x:row>
    <x:row r="24">
      <x:c r="A24" t="str">
        <x:v>Discount period</x:v>
      </x:c>
      <x:c r="B24" s="38" t="n">
        <x:v>0.4</x:v>
      </x:c>
      <x:c r="C24" s="38" t="n">
        <x:v>1.4</x:v>
      </x:c>
      <x:c r="D24" s="38" t="n">
        <x:v>2.4</x:v>
      </x:c>
      <x:c r="E24" s="38" t="n">
        <x:v>3.4</x:v>
      </x:c>
      <x:c r="F24" s="38" t="n">
        <x:v>4.4</x:v>
      </x:c>
      <x:c r="G24" s="38" t="n">
        <x:v>5.4</x:v>
      </x:c>
      <x:c r="H24" s="38" t="n">
        <x:v>6.4</x:v>
      </x:c>
      <x:c r="I24" s="38" t="n">
        <x:v>7.4</x:v>
      </x:c>
      <x:c r="J24" s="38" t="n">
        <x:v>8.4</x:v>
      </x:c>
      <x:c r="K24" s="38" t="n">
        <x:v>9.4</x:v>
      </x:c>
      <x:c r="M24" t="str">
        <x:v>Terminal maintenance capex / revenue</x:v>
      </x:c>
      <x:c r="N24" s="78" t="n">
        <x:v>0.1</x:v>
      </x:c>
    </x:row>
    <x:row r="25">
      <x:c r="A25" t="str">
        <x:v>Discount factor</x:v>
      </x:c>
      <x:c r="B25" s="118" t="n">
        <x:f>1/(1+$N$22)^B24</x:f>
        <x:v>0.9573925706612123</x:v>
      </x:c>
      <x:c r="C25" s="118" t="n">
        <x:f>1/(1+$N$22)^C24</x:f>
        <x:v>0.8586480454360649</x:v>
      </x:c>
      <x:c r="D25" s="118" t="n">
        <x:f>1/(1+$N$22)^D24</x:f>
        <x:v>0.7700879331265156</x:v>
      </x:c>
      <x:c r="E25" s="118" t="n">
        <x:f>1/(1+$N$22)^E24</x:f>
        <x:v>0.6906618234318526</x:v>
      </x:c>
      <x:c r="F25" s="118" t="n">
        <x:f>1/(1+$N$22)^F24</x:f>
        <x:v>0.6194276443335</x:v>
      </x:c>
      <x:c r="G25" s="118" t="n">
        <x:f>1/(1+$N$22)^G24</x:f>
        <x:v>0.5555404881914798</x:v>
      </x:c>
      <x:c r="H25" s="118" t="n">
        <x:f>1/(1+$N$22)^H24</x:f>
        <x:v>0.4982425903062599</x:v>
      </x:c>
      <x:c r="I25" s="118" t="n">
        <x:f>1/(1+$N$22)^I24</x:f>
        <x:v>0.4468543410818474</x:v>
      </x:c>
      <x:c r="J25" s="118" t="n">
        <x:f>1/(1+$N$22)^J24</x:f>
        <x:v>0.40076622518551347</x:v>
      </x:c>
      <x:c r="K25" s="118" t="n">
        <x:f>1/(1+$N$22)^K24</x:f>
        <x:v>0.3594315920946309</x:v>
      </x:c>
    </x:row>
    <x:row r="26">
      <x:c r="A26" t="str">
        <x:v>PV FCFF ($bn)</x:v>
      </x:c>
      <x:c r="B26" s="56" t="n">
        <x:f>B23*B25</x:f>
        <x:v>-2.2249717176835215</x:v>
      </x:c>
      <x:c r="C26" s="56" t="n">
        <x:f>C23*C25</x:f>
        <x:v>-2.571573617756925</x:v>
      </x:c>
      <x:c r="D26" s="56" t="n">
        <x:f>D23*D25</x:f>
        <x:v>-1.4942324201627033</x:v>
      </x:c>
      <x:c r="E26" s="56" t="n">
        <x:f>E23*E25</x:f>
        <x:v>-0.8096624412120669</x:v>
      </x:c>
      <x:c r="F26" s="56" t="n">
        <x:f>F23*F25</x:f>
        <x:v>-0.328325516824981</x:v>
      </x:c>
      <x:c r="G26" s="56" t="n">
        <x:f>G23*G25</x:f>
        <x:v>0.057556661170980655</x:v>
      </x:c>
      <x:c r="H26" s="56" t="n">
        <x:f>H23*H25</x:f>
        <x:v>0.34109712644496065</x:v>
      </x:c>
      <x:c r="I26" s="56" t="n">
        <x:f>I23*I25</x:f>
        <x:v>0.5325841954416477</x:v>
      </x:c>
      <x:c r="J26" s="56" t="n">
        <x:f>J23*J25</x:f>
        <x:v>0.5933912651145066</x:v>
      </x:c>
      <x:c r="K26" s="56" t="n">
        <x:f>K23*K25</x:f>
        <x:v>0.62468020987477</x:v>
      </x:c>
      <x:c r="P26" t="str">
        <x:v>PV explicit FCFF</x:v>
      </x:c>
      <x:c r="Q26" s="56" t="n">
        <x:f>SUM(B26:K26)</x:f>
        <x:v>-5.279456255593332</x:v>
      </x:c>
    </x:row>
    <x:row r="27">
      <x:c r="P27" t="str">
        <x:v>2035 NOPAT proxy</x:v>
      </x:c>
      <x:c r="Q27" s="56" t="n">
        <x:f>MAX(Forecast!K37,0)*(1-21%)</x:f>
        <x:v>2.1346668999999996</x:v>
      </x:c>
    </x:row>
    <x:row r="28">
      <x:c r="P28" t="str">
        <x:v>2035 D&amp;A</x:v>
      </x:c>
      <x:c r="Q28" s="56" t="n">
        <x:f>Forecast!K36</x:f>
        <x:v>0.4033</x:v>
      </x:c>
    </x:row>
    <x:row r="29">
      <x:c r="P29" t="str">
        <x:v>2035 maintenance capex</x:v>
      </x:c>
      <x:c r="Q29" s="56" t="n">
        <x:f>Forecast!K31*$N$24</x:f>
        <x:v>0.4033</x:v>
      </x:c>
    </x:row>
    <x:row r="30">
      <x:c r="P30" t="str">
        <x:v>Normalized terminal FCFF</x:v>
      </x:c>
      <x:c r="Q30" s="56" t="n">
        <x:f>Q27+Q28-Q29</x:f>
        <x:v>2.1346669</x:v>
      </x:c>
    </x:row>
    <x:row r="31">
      <x:c r="P31" t="str">
        <x:v>Terminal value</x:v>
      </x:c>
      <x:c r="Q31" s="56" t="n">
        <x:f>Q30*(1+$N$23)/($N$22-$N$23)</x:f>
        <x:v>24.311484138888886</x:v>
      </x:c>
    </x:row>
    <x:row r="32">
      <x:c r="P32" t="str">
        <x:v>PV terminal value</x:v>
      </x:c>
      <x:c r="Q32" s="56" t="n">
        <x:f>Q31*K25</x:f>
        <x:v>8.7383154502242</x:v>
      </x:c>
    </x:row>
    <x:row r="33">
      <x:c r="P33" t="str">
        <x:v>Enterprise value</x:v>
      </x:c>
      <x:c r="Q33" s="56" t="n">
        <x:f>Q26+Q32</x:f>
        <x:v>3.4588591946308673</x:v>
      </x:c>
    </x:row>
    <x:row r="34">
      <x:c r="P34" t="str">
        <x:v>Projected stabilized net debt</x:v>
      </x:c>
      <x:c r="Q34" s="94" t="n">
        <x:f>CapitalStructure!C24</x:f>
        <x:v>4.480589999999999</x:v>
      </x:c>
    </x:row>
    <x:row r="35">
      <x:c r="P35" t="str">
        <x:v>Equity value</x:v>
      </x:c>
      <x:c r="Q35" s="56" t="n">
        <x:f>MAX(0,Q33-Q34)</x:f>
        <x:v>0</x:v>
      </x:c>
    </x:row>
    <x:row r="36">
      <x:c r="P36" t="str">
        <x:v>Shares (mm)</x:v>
      </x:c>
      <x:c r="Q36" s="120" t="n">
        <x:v>540</x:v>
      </x:c>
    </x:row>
    <x:row r="37">
      <x:c r="P37" t="str">
        <x:v>DCF value / share</x:v>
      </x:c>
      <x:c r="Q37" s="56" t="n">
        <x:f>Q35*1000/Q36</x:f>
        <x:v>0</x:v>
      </x:c>
    </x:row>
    <x:row r="39">
      <x:c r="A39" s="49" t="str">
        <x:v>Bull DCF</x:v>
      </x:c>
      <x:c r="B39" s="49" t="str">
        <x:v>Bull DCF</x:v>
      </x:c>
      <x:c r="C39" s="49" t="str">
        <x:v>Bull DCF</x:v>
      </x:c>
      <x:c r="D39" s="49" t="str">
        <x:v>Bull DCF</x:v>
      </x:c>
      <x:c r="E39" s="49" t="str">
        <x:v>Bull DCF</x:v>
      </x:c>
      <x:c r="F39" s="49" t="str">
        <x:v>Bull DCF</x:v>
      </x:c>
      <x:c r="G39" s="49" t="str">
        <x:v>Bull DCF</x:v>
      </x:c>
      <x:c r="H39" s="49" t="str">
        <x:v>Bull DCF</x:v>
      </x:c>
      <x:c r="I39" s="49" t="str">
        <x:v>Bull DCF</x:v>
      </x:c>
      <x:c r="J39" s="49" t="str">
        <x:v>Bull DCF</x:v>
      </x:c>
      <x:c r="K39" s="49" t="str">
        <x:v>Bull DCF</x:v>
      </x:c>
      <x:c r="M39" t="str">
        <x:v>WACC</x:v>
      </x:c>
      <x:c r="N39" s="60" t="n">
        <x:v>0.1</x:v>
      </x:c>
    </x:row>
    <x:row r="40">
      <x:c r="A40" t="str">
        <x:v>FCFF ($bn)</x:v>
      </x:c>
      <x:c r="B40" s="94" t="n">
        <x:f>Forecast!B63</x:f>
        <x:v>-2.386025</x:v>
      </x:c>
      <x:c r="C40" s="94" t="n">
        <x:f>Forecast!C63</x:f>
        <x:v>-3.147347</x:v>
      </x:c>
      <x:c r="D40" s="94" t="n">
        <x:f>Forecast!D63</x:f>
        <x:v>-2.1813794</x:v>
      </x:c>
      <x:c r="E40" s="94" t="n">
        <x:f>Forecast!E63</x:f>
        <x:v>-1.3528208999999998</x:v>
      </x:c>
      <x:c r="F40" s="94" t="n">
        <x:f>Forecast!F63</x:f>
        <x:v>-0.5332781</x:v>
      </x:c>
      <x:c r="G40" s="94" t="n">
        <x:f>Forecast!G63</x:f>
        <x:v>0.27824329999999975</x:v>
      </x:c>
      <x:c r="H40" s="94" t="n">
        <x:f>Forecast!H63</x:f>
        <x:v>1.0620990000000001</x:v>
      </x:c>
      <x:c r="I40" s="94" t="n">
        <x:f>Forecast!I63</x:f>
        <x:v>1.8538990000000006</x:v>
      </x:c>
      <x:c r="J40" s="94" t="n">
        <x:f>Forecast!J63</x:f>
        <x:v>2.3688847000000006</x:v>
      </x:c>
      <x:c r="K40" s="94" t="n">
        <x:f>Forecast!K63</x:f>
        <x:v>2.8292446999999994</x:v>
      </x:c>
      <x:c r="M40" t="str">
        <x:v>Terminal growth</x:v>
      </x:c>
      <x:c r="N40" s="60" t="n">
        <x:v>0.03</x:v>
      </x:c>
    </x:row>
    <x:row r="41">
      <x:c r="A41" t="str">
        <x:v>Discount period</x:v>
      </x:c>
      <x:c r="B41" s="38" t="n">
        <x:v>0.4</x:v>
      </x:c>
      <x:c r="C41" s="38" t="n">
        <x:v>1.4</x:v>
      </x:c>
      <x:c r="D41" s="38" t="n">
        <x:v>2.4</x:v>
      </x:c>
      <x:c r="E41" s="38" t="n">
        <x:v>3.4</x:v>
      </x:c>
      <x:c r="F41" s="38" t="n">
        <x:v>4.4</x:v>
      </x:c>
      <x:c r="G41" s="38" t="n">
        <x:v>5.4</x:v>
      </x:c>
      <x:c r="H41" s="38" t="n">
        <x:v>6.4</x:v>
      </x:c>
      <x:c r="I41" s="38" t="n">
        <x:v>7.4</x:v>
      </x:c>
      <x:c r="J41" s="38" t="n">
        <x:v>8.4</x:v>
      </x:c>
      <x:c r="K41" s="38" t="n">
        <x:v>9.4</x:v>
      </x:c>
      <x:c r="M41" t="str">
        <x:v>Terminal maintenance capex / revenue</x:v>
      </x:c>
      <x:c r="N41" s="60" t="n">
        <x:v>0.09</x:v>
      </x:c>
    </x:row>
    <x:row r="42">
      <x:c r="A42" t="str">
        <x:v>Discount factor</x:v>
      </x:c>
      <x:c r="B42" s="118" t="n">
        <x:f>1/(1+$N$39)^B41</x:f>
        <x:v>0.9625935026561678</x:v>
      </x:c>
      <x:c r="C42" s="118" t="n">
        <x:f>1/(1+$N$39)^C41</x:f>
        <x:v>0.8750850024146979</x:v>
      </x:c>
      <x:c r="D42" s="118" t="n">
        <x:f>1/(1+$N$39)^D41</x:f>
        <x:v>0.795531820376998</x:v>
      </x:c>
      <x:c r="E42" s="118" t="n">
        <x:f>1/(1+$N$39)^E41</x:f>
        <x:v>0.7232107457972708</x:v>
      </x:c>
      <x:c r="F42" s="118" t="n">
        <x:f>1/(1+$N$39)^F41</x:f>
        <x:v>0.6574643143611553</x:v>
      </x:c>
      <x:c r="G42" s="118" t="n">
        <x:f>1/(1+$N$39)^G41</x:f>
        <x:v>0.5976948312374137</x:v>
      </x:c>
      <x:c r="H42" s="118" t="n">
        <x:f>1/(1+$N$39)^H41</x:f>
        <x:v>0.5433589374885579</x:v>
      </x:c>
      <x:c r="I42" s="118" t="n">
        <x:f>1/(1+$N$39)^I41</x:f>
        <x:v>0.49396267044414355</x:v>
      </x:c>
      <x:c r="J42" s="118" t="n">
        <x:f>1/(1+$N$39)^J41</x:f>
        <x:v>0.44905697313103954</x:v>
      </x:c>
      <x:c r="K42" s="118" t="n">
        <x:f>1/(1+$N$39)^K41</x:f>
        <x:v>0.4082336119373086</x:v>
      </x:c>
    </x:row>
    <x:row r="43">
      <x:c r="A43" t="str">
        <x:v>PV FCFF ($bn)</x:v>
      </x:c>
      <x:c r="B43" s="56" t="n">
        <x:f>B40*B42</x:f>
        <x:v>-2.296772162175183</x:v>
      </x:c>
      <x:c r="C43" s="56" t="n">
        <x:f>C40*C42</x:f>
        <x:v>-2.754196157094892</x:v>
      </x:c>
      <x:c r="D43" s="56" t="n">
        <x:f>D40*D42</x:f>
        <x:v>-1.7353567250148836</x:v>
      </x:c>
      <x:c r="E43" s="56" t="n">
        <x:f>E40*E42</x:f>
        <x:v>-0.978374612019135</x:v>
      </x:c>
      <x:c r="F43" s="56" t="n">
        <x:f>F40*F42</x:f>
        <x:v>-0.35061132038031956</x:v>
      </x:c>
      <x:c r="G43" s="56" t="n">
        <x:f>G40*G42</x:f>
        <x:v>0.16630458223644093</x:v>
      </x:c>
      <x:c r="H43" s="56" t="n">
        <x:f>H40*H42</x:f>
        <x:v>0.57710098414766</x:v>
      </x:c>
      <x:c r="I43" s="56" t="n">
        <x:f>I40*I42</x:f>
        <x:v>0.9157569007737276</x:v>
      </x:c>
      <x:c r="J43" s="56" t="n">
        <x:f>J40*J42</x:f>
        <x:v>1.063764193078431</x:v>
      </x:c>
      <x:c r="K43" s="56" t="n">
        <x:f>K40*K42</x:f>
        <x:v>1.154992782935487</x:v>
      </x:c>
      <x:c r="P43" t="str">
        <x:v>PV explicit FCFF</x:v>
      </x:c>
      <x:c r="Q43" s="56" t="n">
        <x:f>SUM(B43:K43)</x:f>
        <x:v>-4.237391533512666</x:v>
      </x:c>
    </x:row>
    <x:row r="44">
      <x:c r="P44" t="str">
        <x:v>2035 NOPAT proxy</x:v>
      </x:c>
      <x:c r="Q44" s="56" t="n">
        <x:f>MAX(Forecast!K58,0)*(1-21%)</x:f>
        <x:v>3.2997747</x:v>
      </x:c>
    </x:row>
    <x:row r="45">
      <x:c r="P45" t="str">
        <x:v>2035 D&amp;A</x:v>
      </x:c>
      <x:c r="Q45" s="56" t="n">
        <x:f>Forecast!K57</x:f>
        <x:v>0.5294699999999999</x:v>
      </x:c>
    </x:row>
    <x:row r="46">
      <x:c r="P46" t="str">
        <x:v>2035 maintenance capex</x:v>
      </x:c>
      <x:c r="Q46" s="56" t="n">
        <x:f>Forecast!K52*$N$41</x:f>
        <x:v>0.5294699999999999</x:v>
      </x:c>
    </x:row>
    <x:row r="47">
      <x:c r="P47" t="str">
        <x:v>Normalized terminal FCFF</x:v>
      </x:c>
      <x:c r="Q47" s="56" t="n">
        <x:f>Q44+Q45-Q46</x:f>
        <x:v>3.2997747</x:v>
      </x:c>
    </x:row>
    <x:row r="48">
      <x:c r="P48" t="str">
        <x:v>Terminal value</x:v>
      </x:c>
      <x:c r="Q48" s="56" t="n">
        <x:f>Q47*(1+$N$40)/($N$39-$N$40)</x:f>
        <x:v>48.55382772857143</x:v>
      </x:c>
    </x:row>
    <x:row r="49">
      <x:c r="P49" t="str">
        <x:v>PV terminal value</x:v>
      </x:c>
      <x:c r="Q49" s="56" t="n">
        <x:f>Q48*K42</x:f>
        <x:v>19.821304467016564</x:v>
      </x:c>
    </x:row>
    <x:row r="50">
      <x:c r="P50" t="str">
        <x:v>Enterprise value</x:v>
      </x:c>
      <x:c r="Q50" s="56" t="n">
        <x:f>Q43+Q49</x:f>
        <x:v>15.583912933503898</x:v>
      </x:c>
    </x:row>
    <x:row r="51">
      <x:c r="P51" t="str">
        <x:v>Projected stabilized net debt</x:v>
      </x:c>
      <x:c r="Q51" s="94" t="n">
        <x:f>CapitalStructure!D24</x:f>
        <x:v>3.48059</x:v>
      </x:c>
    </x:row>
    <x:row r="52">
      <x:c r="P52" t="str">
        <x:v>Equity value</x:v>
      </x:c>
      <x:c r="Q52" s="56" t="n">
        <x:f>MAX(0,Q50-Q51)</x:f>
        <x:v>12.103322933503899</x:v>
      </x:c>
    </x:row>
    <x:row r="53">
      <x:c r="P53" t="str">
        <x:v>Shares (mm)</x:v>
      </x:c>
      <x:c r="Q53" s="120" t="n">
        <x:v>555</x:v>
      </x:c>
    </x:row>
    <x:row r="54">
      <x:c r="P54" t="str">
        <x:v>DCF value / share</x:v>
      </x:c>
      <x:c r="Q54" s="56" t="n">
        <x:f>Q52*1000/Q53</x:f>
        <x:v>21.807789069376394</x:v>
      </x:c>
    </x:row>
  </x:sheetData>
  <x:mergeCells>
    <x:mergeCell ref="A1:R1"/>
    <x:mergeCell ref="A2:R2"/>
    <x:mergeCell ref="A5:K5"/>
    <x:mergeCell ref="A22:K22"/>
    <x:mergeCell ref="A39:K3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4" t="str">
        <x:v>Valuation Summary</x:v>
      </x:c>
      <x:c r="B1" s="4"/>
      <x:c r="C1" s="4"/>
      <x:c r="D1" s="4"/>
      <x:c r="E1" s="4"/>
    </x:row>
    <x:row r="2" ht="28" customHeight="1">
      <x:c r="A2" s="10" t="str">
        <x:v>Blended target weights contracted-asset SOTP most heavily because signed long-duration HDC contracts are the most observable source of value.</x:v>
      </x:c>
      <x:c r="B2" s="10"/>
      <x:c r="C2" s="10"/>
      <x:c r="D2" s="10"/>
      <x:c r="E2" s="10"/>
    </x:row>
    <x:row r="4">
      <x:c r="A4" s="19" t="str">
        <x:v>Method</x:v>
      </x:c>
      <x:c r="B4" s="19" t="str">
        <x:v>Bear</x:v>
      </x:c>
      <x:c r="C4" s="19" t="str">
        <x:v>Base</x:v>
      </x:c>
      <x:c r="D4" s="19" t="str">
        <x:v>Bull</x:v>
      </x:c>
    </x:row>
    <x:row r="5">
      <x:c r="A5" t="str">
        <x:v>Contracted HDC SOTP</x:v>
      </x:c>
      <x:c r="B5" s="94" t="n">
        <x:f>SOTP!B19</x:f>
        <x:v>13.091543129930114</x:v>
      </x:c>
      <x:c r="C5" s="94" t="n">
        <x:f>SOTP!C19</x:f>
        <x:v>36.50205944893916</x:v>
      </x:c>
      <x:c r="D5" s="94" t="n">
        <x:f>SOTP!D19</x:f>
        <x:v>71.47532737481995</x:v>
      </x:c>
    </x:row>
    <x:row r="6">
      <x:c r="A6" t="str">
        <x:v>2028 Forward EBITDA</x:v>
      </x:c>
      <x:c r="B6" s="94" t="n">
        <x:f>Multiples!B24</x:f>
        <x:v>4.73739064379298</x:v>
      </x:c>
      <x:c r="C6" s="94" t="n">
        <x:f>Multiples!C24</x:f>
        <x:v>25.448887210610835</x:v>
      </x:c>
      <x:c r="D6" s="94" t="n">
        <x:f>Multiples!D24</x:f>
        <x:v>46.72470808116294</x:v>
      </x:c>
    </x:row>
    <x:row r="7">
      <x:c r="A7" t="str">
        <x:v>2030 EV/EBITDA</x:v>
      </x:c>
      <x:c r="B7" s="94" t="n">
        <x:f>Multiples!B40</x:f>
        <x:v>10.912084821611897</x:v>
      </x:c>
      <x:c r="C7" s="94" t="n">
        <x:f>Multiples!C40</x:f>
        <x:v>36.24253940671854</x:v>
      </x:c>
      <x:c r="D7" s="94" t="n">
        <x:f>Multiples!D40</x:f>
        <x:v>67.34528987901096</x:v>
      </x:c>
    </x:row>
    <x:row r="8">
      <x:c r="A8" t="str">
        <x:v>DCF</x:v>
      </x:c>
      <x:c r="B8" s="94" t="n">
        <x:f>DCF!Q20</x:f>
        <x:v>0</x:v>
      </x:c>
      <x:c r="C8" s="94" t="n">
        <x:f>DCF!Q37</x:f>
        <x:v>0</x:v>
      </x:c>
      <x:c r="D8" s="94" t="n">
        <x:f>DCF!Q54</x:f>
        <x:v>21.807789069376394</x:v>
      </x:c>
    </x:row>
    <x:row r="9">
      <x:c r="A9" s="110" t="str">
        <x:v>Blended intrinsic value</x:v>
      </x:c>
      <x:c r="B9" s="111" t="n">
        <x:f>B5*B13+B6*B14+B7*B15+B8*B16</x:f>
        <x:v>9.366931949155086</x:v>
      </x:c>
      <x:c r="C9" s="111" t="n">
        <x:f>C5*C13+C6*C14+C7*C15+C8*C16</x:f>
        <x:v>30.049632438130068</x:v>
      </x:c>
      <x:c r="D9" s="111" t="n">
        <x:f>D5*D13+D6*D14+D7*D15+D8*D16</x:f>
        <x:v>59.70141309648999</x:v>
      </x:c>
    </x:row>
    <x:row r="12">
      <x:c r="A12" s="19" t="str">
        <x:v>Method weights</x:v>
      </x:c>
      <x:c r="B12" s="19" t="str">
        <x:v>Bear</x:v>
      </x:c>
      <x:c r="C12" s="19" t="str">
        <x:v>Base</x:v>
      </x:c>
      <x:c r="D12" s="19" t="str">
        <x:v>Bull</x:v>
      </x:c>
    </x:row>
    <x:row r="13">
      <x:c r="A13" t="str">
        <x:v>SOTP</x:v>
      </x:c>
      <x:c r="B13" s="78" t="n">
        <x:v>0.5</x:v>
      </x:c>
      <x:c r="C13" s="78" t="n">
        <x:v>0.5</x:v>
      </x:c>
      <x:c r="D13" s="78" t="n">
        <x:v>0.5</x:v>
      </x:c>
    </x:row>
    <x:row r="14">
      <x:c r="A14" t="str">
        <x:v>2028 Forward EBITDA</x:v>
      </x:c>
      <x:c r="B14" s="78" t="n">
        <x:v>0.25</x:v>
      </x:c>
      <x:c r="C14" s="78" t="n">
        <x:v>0.25</x:v>
      </x:c>
      <x:c r="D14" s="78" t="n">
        <x:v>0.25</x:v>
      </x:c>
    </x:row>
    <x:row r="15">
      <x:c r="A15" t="str">
        <x:v>2030 EV/EBITDA</x:v>
      </x:c>
      <x:c r="B15" s="78" t="n">
        <x:v>0.15</x:v>
      </x:c>
      <x:c r="C15" s="78" t="n">
        <x:v>0.15</x:v>
      </x:c>
      <x:c r="D15" s="78" t="n">
        <x:v>0.15</x:v>
      </x:c>
    </x:row>
    <x:row r="16">
      <x:c r="A16" t="str">
        <x:v>DCF</x:v>
      </x:c>
      <x:c r="B16" s="78" t="n">
        <x:v>0.1</x:v>
      </x:c>
      <x:c r="C16" s="78" t="n">
        <x:v>0.1</x:v>
      </x:c>
      <x:c r="D16" s="78" t="n">
        <x:v>0.1</x:v>
      </x:c>
    </x:row>
    <x:row r="19">
      <x:c r="A19" s="49" t="str">
        <x:v>Current Price Comparison</x:v>
      </x:c>
      <x:c r="B19" s="49" t="str">
        <x:v>Current Price Comparison</x:v>
      </x:c>
      <x:c r="C19" s="49" t="str">
        <x:v>Current Price Comparison</x:v>
      </x:c>
      <x:c r="D19" s="49" t="str">
        <x:v>Current Price Comparison</x:v>
      </x:c>
    </x:row>
    <x:row r="20">
      <x:c r="A20" s="19" t="str">
        <x:v>Metric</x:v>
      </x:c>
      <x:c r="B20" s="19" t="str">
        <x:v>Bear</x:v>
      </x:c>
      <x:c r="C20" s="19" t="str">
        <x:v>Base</x:v>
      </x:c>
      <x:c r="D20" s="19" t="str">
        <x:v>Bull</x:v>
      </x:c>
    </x:row>
    <x:row r="21">
      <x:c r="A21" t="str">
        <x:v>Current price (Aug 7)</x:v>
      </x:c>
      <x:c r="B21" s="94" t="n">
        <x:f>Historical!F32</x:f>
        <x:v>21.16</x:v>
      </x:c>
      <x:c r="C21" s="94" t="n">
        <x:f>Historical!F32</x:f>
        <x:v>21.16</x:v>
      </x:c>
      <x:c r="D21" s="94" t="n">
        <x:f>Historical!F32</x:f>
        <x:v>21.16</x:v>
      </x:c>
    </x:row>
    <x:row r="22">
      <x:c r="A22" t="str">
        <x:v>Upside / (downside)</x:v>
      </x:c>
      <x:c r="B22" s="61" t="n">
        <x:f>B9/B21-1</x:f>
        <x:v>-0.5573283577904024</x:v>
      </x:c>
      <x:c r="C22" s="61" t="n">
        <x:f>C9/C21-1</x:f>
        <x:v>0.42011495454300896</x:v>
      </x:c>
      <x:c r="D22" s="61" t="n">
        <x:f>D9/D21-1</x:f>
        <x:v>1.821427840098771</x:v>
      </x:c>
    </x:row>
    <x:row r="25">
      <x:c r="A25" s="49" t="str">
        <x:v>Key Base Outputs</x:v>
      </x:c>
      <x:c r="B25" s="49" t="str">
        <x:v>Key Base Outputs</x:v>
      </x:c>
      <x:c r="C25" s="49" t="str">
        <x:v>Key Base Outputs</x:v>
      </x:c>
      <x:c r="D25" s="49" t="str">
        <x:v>Key Base Outputs</x:v>
      </x:c>
    </x:row>
    <x:row r="26">
      <x:c r="A26" s="19" t="str">
        <x:v>Metric</x:v>
      </x:c>
      <x:c r="B26" s="19" t="str">
        <x:v>Base</x:v>
      </x:c>
    </x:row>
    <x:row r="27">
      <x:c r="A27" t="str">
        <x:v>Signed HDC capacity (MW)</x:v>
      </x:c>
      <x:c r="B27" s="36" t="n">
        <x:v>1119</x:v>
      </x:c>
    </x:row>
    <x:row r="28">
      <x:c r="A28" t="str">
        <x:v>Contracted stabilized NOI ($bn)</x:v>
      </x:c>
      <x:c r="B28" s="94" t="n">
        <x:f>SOTP!C11</x:f>
        <x:v>1.42899</x:v>
      </x:c>
    </x:row>
    <x:row r="29">
      <x:c r="A29" t="str">
        <x:v>Pipeline option PV ($bn)</x:v>
      </x:c>
      <x:c r="B29" s="94" t="n">
        <x:f>Contracts!C33</x:f>
        <x:v>4.035842102427148</x:v>
      </x:c>
    </x:row>
    <x:row r="30">
      <x:c r="A30" t="str">
        <x:v>Projected stabilized net debt ($bn)</x:v>
      </x:c>
      <x:c r="B30" s="94" t="n">
        <x:f>CapitalStructure!C24</x:f>
        <x:v>4.480589999999999</x:v>
      </x:c>
    </x:row>
    <x:row r="31">
      <x:c r="A31" t="str">
        <x:v>2028 revenue ($bn)</x:v>
      </x:c>
      <x:c r="B31" s="94" t="n">
        <x:f>Forecast!D31</x:f>
        <x:v>1.8</x:v>
      </x:c>
    </x:row>
    <x:row r="32">
      <x:c r="A32" t="str">
        <x:v>2028 adjusted EBITDA ($bn)</x:v>
      </x:c>
      <x:c r="B32" s="94" t="n">
        <x:f>Forecast!D34</x:f>
        <x:v>1.26</x:v>
      </x:c>
    </x:row>
    <x:row r="33">
      <x:c r="A33" t="str">
        <x:v>2030 revenue ($bn)</x:v>
      </x:c>
      <x:c r="B33" s="94" t="n">
        <x:f>Forecast!F31</x:f>
        <x:v>2.533</x:v>
      </x:c>
    </x:row>
    <x:row r="34">
      <x:c r="A34" t="str">
        <x:v>2030 adjusted EBITDA ($bn)</x:v>
      </x:c>
      <x:c r="B34" s="94" t="n">
        <x:f>Forecast!F34</x:f>
        <x:v>1.89975</x:v>
      </x:c>
    </x:row>
  </x:sheetData>
  <x:mergeCells>
    <x:mergeCell ref="A1:E1"/>
    <x:mergeCell ref="A2:E2"/>
    <x:mergeCell ref="A19:D19"/>
    <x:mergeCell ref="A25:D2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Base-Case Sensitivity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The most important swing factors are contracted NOI valuation, AMD/Neocloud margin, and stabilized net debt / dilution.</x:v>
      </x:c>
      <x:c r="B2" s="10"/>
      <x:c r="C2" s="10"/>
      <x:c r="D2" s="10"/>
      <x:c r="E2" s="10"/>
      <x:c r="F2" s="10"/>
      <x:c r="G2" s="10"/>
      <x:c r="H2" s="10"/>
    </x:row>
    <x:row r="4">
      <x:c r="A4" s="49" t="str">
        <x:v>SOTP $/Share — Contracted NOI Multiple vs Stabilized Net Debt</x:v>
      </x:c>
      <x:c r="B4" s="49" t="str">
        <x:v>SOTP $/Share — Contracted NOI Multiple vs Stabilized Net Debt</x:v>
      </x:c>
      <x:c r="C4" s="49" t="str">
        <x:v>SOTP $/Share — Contracted NOI Multiple vs Stabilized Net Debt</x:v>
      </x:c>
      <x:c r="D4" s="49" t="str">
        <x:v>SOTP $/Share — Contracted NOI Multiple vs Stabilized Net Debt</x:v>
      </x:c>
      <x:c r="E4" s="49" t="str">
        <x:v>SOTP $/Share — Contracted NOI Multiple vs Stabilized Net Debt</x:v>
      </x:c>
      <x:c r="F4" s="49" t="str">
        <x:v>SOTP $/Share — Contracted NOI Multiple vs Stabilized Net Debt</x:v>
      </x:c>
      <x:c r="G4" s="49" t="str">
        <x:v>SOTP $/Share — Contracted NOI Multiple vs Stabilized Net Debt</x:v>
      </x:c>
      <x:c r="H4" s="49" t="str">
        <x:v>SOTP $/Share — Contracted NOI Multiple vs Stabilized Net Debt</x:v>
      </x:c>
    </x:row>
    <x:row r="5">
      <x:c r="B5" s="124" t="n">
        <x:v>10</x:v>
      </x:c>
      <x:c r="C5" s="124" t="n">
        <x:v>12</x:v>
      </x:c>
      <x:c r="D5" s="124" t="n">
        <x:v>14</x:v>
      </x:c>
      <x:c r="E5" s="124" t="n">
        <x:v>16</x:v>
      </x:c>
      <x:c r="F5" s="124" t="n">
        <x:v>18</x:v>
      </x:c>
      <x:c r="G5" s="124" t="n">
        <x:v>20</x:v>
      </x:c>
    </x:row>
    <x:row r="6">
      <x:c r="A6" s="40" t="n">
        <x:v>3</x:v>
      </x:c>
      <x:c r="B6" s="94" t="n">
        <x:f>((SOTP!$C$11*B$5)+Contracts!$C$33+SOTP!$C$15-$A6)*1000/SOTP!$C$18</x:f>
        <x:v>28.658781671161385</x:v>
      </x:c>
      <x:c r="C6" s="94" t="n">
        <x:f>((SOTP!$C$11*C$5)+Contracts!$C$33+SOTP!$C$15-$A6)*1000/SOTP!$C$18</x:f>
        <x:v>33.95133722671694</x:v>
      </x:c>
      <x:c r="D6" s="94" t="n">
        <x:f>((SOTP!$C$11*D$5)+Contracts!$C$33+SOTP!$C$15-$A6)*1000/SOTP!$C$18</x:f>
        <x:v>39.24389278227249</x:v>
      </x:c>
      <x:c r="E6" s="94" t="n">
        <x:f>((SOTP!$C$11*E$5)+Contracts!$C$33+SOTP!$C$15-$A6)*1000/SOTP!$C$18</x:f>
        <x:v>44.536448337828055</x:v>
      </x:c>
      <x:c r="F6" s="94" t="n">
        <x:f>((SOTP!$C$11*F$5)+Contracts!$C$33+SOTP!$C$15-$A6)*1000/SOTP!$C$18</x:f>
        <x:v>49.8290038933836</x:v>
      </x:c>
      <x:c r="G6" s="94" t="n">
        <x:f>((SOTP!$C$11*G$5)+Contracts!$C$33+SOTP!$C$15-$A6)*1000/SOTP!$C$18</x:f>
        <x:v>55.12155944893915</x:v>
      </x:c>
    </x:row>
    <x:row r="7">
      <x:c r="A7" s="40" t="n">
        <x:v>4</x:v>
      </x:c>
      <x:c r="B7" s="94" t="n">
        <x:f>((SOTP!$C$11*B$5)+Contracts!$C$33+SOTP!$C$15-$A7)*1000/SOTP!$C$18</x:f>
        <x:v>26.806929819309534</x:v>
      </x:c>
      <x:c r="C7" s="94" t="n">
        <x:f>((SOTP!$C$11*C$5)+Contracts!$C$33+SOTP!$C$15-$A7)*1000/SOTP!$C$18</x:f>
        <x:v>32.09948537486508</x:v>
      </x:c>
      <x:c r="D7" s="94" t="n">
        <x:f>((SOTP!$C$11*D$5)+Contracts!$C$33+SOTP!$C$15-$A7)*1000/SOTP!$C$18</x:f>
        <x:v>37.39204093042064</x:v>
      </x:c>
      <x:c r="E7" s="94" t="n">
        <x:f>((SOTP!$C$11*E$5)+Contracts!$C$33+SOTP!$C$15-$A7)*1000/SOTP!$C$18</x:f>
        <x:v>42.6845964859762</x:v>
      </x:c>
      <x:c r="F7" s="94" t="n">
        <x:f>((SOTP!$C$11*F$5)+Contracts!$C$33+SOTP!$C$15-$A7)*1000/SOTP!$C$18</x:f>
        <x:v>47.977152041531745</x:v>
      </x:c>
      <x:c r="G7" s="94" t="n">
        <x:f>((SOTP!$C$11*G$5)+Contracts!$C$33+SOTP!$C$15-$A7)*1000/SOTP!$C$18</x:f>
        <x:v>53.269707597087304</x:v>
      </x:c>
    </x:row>
    <x:row r="8">
      <x:c r="A8" s="40" t="n">
        <x:v>4.5</x:v>
      </x:c>
      <x:c r="B8" s="94" t="n">
        <x:f>((SOTP!$C$11*B$5)+Contracts!$C$33+SOTP!$C$15-$A8)*1000/SOTP!$C$18</x:f>
        <x:v>25.881003893383607</x:v>
      </x:c>
      <x:c r="C8" s="94" t="n">
        <x:f>((SOTP!$C$11*C$5)+Contracts!$C$33+SOTP!$C$15-$A8)*1000/SOTP!$C$18</x:f>
        <x:v>31.17355944893916</x:v>
      </x:c>
      <x:c r="D8" s="94" t="n">
        <x:f>((SOTP!$C$11*D$5)+Contracts!$C$33+SOTP!$C$15-$A8)*1000/SOTP!$C$18</x:f>
        <x:v>36.46611500449471</x:v>
      </x:c>
      <x:c r="E8" s="94" t="n">
        <x:f>((SOTP!$C$11*E$5)+Contracts!$C$33+SOTP!$C$15-$A8)*1000/SOTP!$C$18</x:f>
        <x:v>41.75867056005028</x:v>
      </x:c>
      <x:c r="F8" s="94" t="n">
        <x:f>((SOTP!$C$11*F$5)+Contracts!$C$33+SOTP!$C$15-$A8)*1000/SOTP!$C$18</x:f>
        <x:v>47.05122611560582</x:v>
      </x:c>
      <x:c r="G8" s="94" t="n">
        <x:f>((SOTP!$C$11*G$5)+Contracts!$C$33+SOTP!$C$15-$A8)*1000/SOTP!$C$18</x:f>
        <x:v>52.34378167116138</x:v>
      </x:c>
    </x:row>
    <x:row r="9">
      <x:c r="A9" s="40" t="n">
        <x:v>5</x:v>
      </x:c>
      <x:c r="B9" s="94" t="n">
        <x:f>((SOTP!$C$11*B$5)+Contracts!$C$33+SOTP!$C$15-$A9)*1000/SOTP!$C$18</x:f>
        <x:v>24.955077967457683</x:v>
      </x:c>
      <x:c r="C9" s="94" t="n">
        <x:f>((SOTP!$C$11*C$5)+Contracts!$C$33+SOTP!$C$15-$A9)*1000/SOTP!$C$18</x:f>
        <x:v>30.24763352301323</x:v>
      </x:c>
      <x:c r="D9" s="94" t="n">
        <x:f>((SOTP!$C$11*D$5)+Contracts!$C$33+SOTP!$C$15-$A9)*1000/SOTP!$C$18</x:f>
        <x:v>35.54018907856879</x:v>
      </x:c>
      <x:c r="E9" s="94" t="n">
        <x:f>((SOTP!$C$11*E$5)+Contracts!$C$33+SOTP!$C$15-$A9)*1000/SOTP!$C$18</x:f>
        <x:v>40.832744634124346</x:v>
      </x:c>
      <x:c r="F9" s="94" t="n">
        <x:f>((SOTP!$C$11*F$5)+Contracts!$C$33+SOTP!$C$15-$A9)*1000/SOTP!$C$18</x:f>
        <x:v>46.1253001896799</x:v>
      </x:c>
      <x:c r="G9" s="94" t="n">
        <x:f>((SOTP!$C$11*G$5)+Contracts!$C$33+SOTP!$C$15-$A9)*1000/SOTP!$C$18</x:f>
        <x:v>51.41785574523545</x:v>
      </x:c>
    </x:row>
    <x:row r="10">
      <x:c r="A10" s="40" t="n">
        <x:v>6</x:v>
      </x:c>
      <x:c r="B10" s="94" t="n">
        <x:f>((SOTP!$C$11*B$5)+Contracts!$C$33+SOTP!$C$15-$A10)*1000/SOTP!$C$18</x:f>
        <x:v>23.10322611560583</x:v>
      </x:c>
      <x:c r="C10" s="94" t="n">
        <x:f>((SOTP!$C$11*C$5)+Contracts!$C$33+SOTP!$C$15-$A10)*1000/SOTP!$C$18</x:f>
        <x:v>28.39578167116138</x:v>
      </x:c>
      <x:c r="D10" s="94" t="n">
        <x:f>((SOTP!$C$11*D$5)+Contracts!$C$33+SOTP!$C$15-$A10)*1000/SOTP!$C$18</x:f>
        <x:v>33.68833722671694</x:v>
      </x:c>
      <x:c r="E10" s="94" t="n">
        <x:f>((SOTP!$C$11*E$5)+Contracts!$C$33+SOTP!$C$15-$A10)*1000/SOTP!$C$18</x:f>
        <x:v>38.9808927822725</x:v>
      </x:c>
      <x:c r="F10" s="94" t="n">
        <x:f>((SOTP!$C$11*F$5)+Contracts!$C$33+SOTP!$C$15-$A10)*1000/SOTP!$C$18</x:f>
        <x:v>44.27344833782804</x:v>
      </x:c>
      <x:c r="G10" s="94" t="n">
        <x:f>((SOTP!$C$11*G$5)+Contracts!$C$33+SOTP!$C$15-$A10)*1000/SOTP!$C$18</x:f>
        <x:v>49.5660038933836</x:v>
      </x:c>
    </x:row>
    <x:row r="11">
      <x:c r="A11" s="40" t="n">
        <x:v>7</x:v>
      </x:c>
      <x:c r="B11" s="94" t="n">
        <x:f>((SOTP!$C$11*B$5)+Contracts!$C$33+SOTP!$C$15-$A11)*1000/SOTP!$C$18</x:f>
        <x:v>21.251374263753977</x:v>
      </x:c>
      <x:c r="C11" s="94" t="n">
        <x:f>((SOTP!$C$11*C$5)+Contracts!$C$33+SOTP!$C$15-$A11)*1000/SOTP!$C$18</x:f>
        <x:v>26.54392981930953</x:v>
      </x:c>
      <x:c r="D11" s="94" t="n">
        <x:f>((SOTP!$C$11*D$5)+Contracts!$C$33+SOTP!$C$15-$A11)*1000/SOTP!$C$18</x:f>
        <x:v>31.836485374865084</x:v>
      </x:c>
      <x:c r="E11" s="94" t="n">
        <x:f>((SOTP!$C$11*E$5)+Contracts!$C$33+SOTP!$C$15-$A11)*1000/SOTP!$C$18</x:f>
        <x:v>37.12904093042064</x:v>
      </x:c>
      <x:c r="F11" s="94" t="n">
        <x:f>((SOTP!$C$11*F$5)+Contracts!$C$33+SOTP!$C$15-$A11)*1000/SOTP!$C$18</x:f>
        <x:v>42.421596485976195</x:v>
      </x:c>
      <x:c r="G11" s="94" t="n">
        <x:f>((SOTP!$C$11*G$5)+Contracts!$C$33+SOTP!$C$15-$A11)*1000/SOTP!$C$18</x:f>
        <x:v>47.71415204153175</x:v>
      </x:c>
    </x:row>
    <x:row r="14">
      <x:c r="A14" s="49" t="str">
        <x:v>SOTP $/Share — AMD/Neocloud NOI Margin vs NOI Multiple</x:v>
      </x:c>
      <x:c r="B14" s="49" t="str">
        <x:v>SOTP $/Share — AMD/Neocloud NOI Margin vs NOI Multiple</x:v>
      </x:c>
      <x:c r="C14" s="49" t="str">
        <x:v>SOTP $/Share — AMD/Neocloud NOI Margin vs NOI Multiple</x:v>
      </x:c>
      <x:c r="D14" s="49" t="str">
        <x:v>SOTP $/Share — AMD/Neocloud NOI Margin vs NOI Multiple</x:v>
      </x:c>
      <x:c r="E14" s="49" t="str">
        <x:v>SOTP $/Share — AMD/Neocloud NOI Margin vs NOI Multiple</x:v>
      </x:c>
      <x:c r="F14" s="49" t="str">
        <x:v>SOTP $/Share — AMD/Neocloud NOI Margin vs NOI Multiple</x:v>
      </x:c>
      <x:c r="G14" s="49" t="str">
        <x:v>SOTP $/Share — AMD/Neocloud NOI Margin vs NOI Multiple</x:v>
      </x:c>
      <x:c r="H14" s="49" t="str">
        <x:v>SOTP $/Share — AMD/Neocloud NOI Margin vs NOI Multiple</x:v>
      </x:c>
    </x:row>
    <x:row r="15">
      <x:c r="B15" s="60" t="n">
        <x:v>0.6</x:v>
      </x:c>
      <x:c r="C15" s="60" t="n">
        <x:v>0.65</x:v>
      </x:c>
      <x:c r="D15" s="60" t="n">
        <x:v>0.7</x:v>
      </x:c>
      <x:c r="E15" s="60" t="n">
        <x:v>0.75</x:v>
      </x:c>
      <x:c r="F15" s="60" t="n">
        <x:v>0.8</x:v>
      </x:c>
      <x:c r="G15" s="60" t="n">
        <x:v>0.85</x:v>
      </x:c>
    </x:row>
    <x:row r="16">
      <x:c r="A16" s="124" t="n">
        <x:v>10</x:v>
      </x:c>
      <x:c r="B16" s="94" t="n">
        <x:f>((SOTP!$C$7+(SOTP!$C$8*B$15))*$A16+Contracts!$C$33+SOTP!$C$15-SOTP!$C$16)*1000/SOTP!$C$18</x:f>
        <x:v>22.806948337828054</x:v>
      </x:c>
      <x:c r="C16" s="94" t="n">
        <x:f>((SOTP!$C$7+(SOTP!$C$8*C$15))*$A16+Contracts!$C$33+SOTP!$C$15-SOTP!$C$16)*1000/SOTP!$C$18</x:f>
        <x:v>23.670837226716948</x:v>
      </x:c>
      <x:c r="D16" s="94" t="n">
        <x:f>((SOTP!$C$7+(SOTP!$C$8*D$15))*$A16+Contracts!$C$33+SOTP!$C$15-SOTP!$C$16)*1000/SOTP!$C$18</x:f>
        <x:v>24.53472611560583</x:v>
      </x:c>
      <x:c r="E16" s="94" t="n">
        <x:f>((SOTP!$C$7+(SOTP!$C$8*E$15))*$A16+Contracts!$C$33+SOTP!$C$15-SOTP!$C$16)*1000/SOTP!$C$18</x:f>
        <x:v>25.398615004494715</x:v>
      </x:c>
      <x:c r="F16" s="94" t="n">
        <x:f>((SOTP!$C$7+(SOTP!$C$8*F$15))*$A16+Contracts!$C$33+SOTP!$C$15-SOTP!$C$16)*1000/SOTP!$C$18</x:f>
        <x:v>26.262503893383606</x:v>
      </x:c>
      <x:c r="G16" s="94" t="n">
        <x:f>((SOTP!$C$7+(SOTP!$C$8*G$15))*$A16+Contracts!$C$33+SOTP!$C$15-SOTP!$C$16)*1000/SOTP!$C$18</x:f>
        <x:v>27.126392782272493</x:v>
      </x:c>
    </x:row>
    <x:row r="17">
      <x:c r="A17" s="124" t="n">
        <x:v>12</x:v>
      </x:c>
      <x:c r="B17" s="94" t="n">
        <x:f>((SOTP!$C$7+(SOTP!$C$8*B$15))*$A17+Contracts!$C$33+SOTP!$C$15-SOTP!$C$16)*1000/SOTP!$C$18</x:f>
        <x:v>27.47750389338361</x:v>
      </x:c>
      <x:c r="C17" s="94" t="n">
        <x:f>((SOTP!$C$7+(SOTP!$C$8*C$15))*$A17+Contracts!$C$33+SOTP!$C$15-SOTP!$C$16)*1000/SOTP!$C$18</x:f>
        <x:v>28.514170560050275</x:v>
      </x:c>
      <x:c r="D17" s="94" t="n">
        <x:f>((SOTP!$C$7+(SOTP!$C$8*D$15))*$A17+Contracts!$C$33+SOTP!$C$15-SOTP!$C$16)*1000/SOTP!$C$18</x:f>
        <x:v>29.55083722671694</x:v>
      </x:c>
      <x:c r="E17" s="94" t="n">
        <x:f>((SOTP!$C$7+(SOTP!$C$8*E$15))*$A17+Contracts!$C$33+SOTP!$C$15-SOTP!$C$16)*1000/SOTP!$C$18</x:f>
        <x:v>30.587503893383616</x:v>
      </x:c>
      <x:c r="F17" s="94" t="n">
        <x:f>((SOTP!$C$7+(SOTP!$C$8*F$15))*$A17+Contracts!$C$33+SOTP!$C$15-SOTP!$C$16)*1000/SOTP!$C$18</x:f>
        <x:v>31.624170560050274</x:v>
      </x:c>
      <x:c r="G17" s="94" t="n">
        <x:f>((SOTP!$C$7+(SOTP!$C$8*G$15))*$A17+Contracts!$C$33+SOTP!$C$15-SOTP!$C$16)*1000/SOTP!$C$18</x:f>
        <x:v>32.66083722671694</x:v>
      </x:c>
    </x:row>
    <x:row r="18">
      <x:c r="A18" s="124" t="n">
        <x:v>14</x:v>
      </x:c>
      <x:c r="B18" s="94" t="n">
        <x:f>((SOTP!$C$7+(SOTP!$C$8*B$15))*$A18+Contracts!$C$33+SOTP!$C$15-SOTP!$C$16)*1000/SOTP!$C$18</x:f>
        <x:v>32.14805944893916</x:v>
      </x:c>
      <x:c r="C18" s="94" t="n">
        <x:f>((SOTP!$C$7+(SOTP!$C$8*C$15))*$A18+Contracts!$C$33+SOTP!$C$15-SOTP!$C$16)*1000/SOTP!$C$18</x:f>
        <x:v>33.35750389338361</x:v>
      </x:c>
      <x:c r="D18" s="94" t="n">
        <x:f>((SOTP!$C$7+(SOTP!$C$8*D$15))*$A18+Contracts!$C$33+SOTP!$C$15-SOTP!$C$16)*1000/SOTP!$C$18</x:f>
        <x:v>34.56694833782805</x:v>
      </x:c>
      <x:c r="E18" s="94" t="n">
        <x:f>((SOTP!$C$7+(SOTP!$C$8*E$15))*$A18+Contracts!$C$33+SOTP!$C$15-SOTP!$C$16)*1000/SOTP!$C$18</x:f>
        <x:v>35.776392782272495</x:v>
      </x:c>
      <x:c r="F18" s="94" t="n">
        <x:f>((SOTP!$C$7+(SOTP!$C$8*F$15))*$A18+Contracts!$C$33+SOTP!$C$15-SOTP!$C$16)*1000/SOTP!$C$18</x:f>
        <x:v>36.98583722671693</x:v>
      </x:c>
      <x:c r="G18" s="94" t="n">
        <x:f>((SOTP!$C$7+(SOTP!$C$8*G$15))*$A18+Contracts!$C$33+SOTP!$C$15-SOTP!$C$16)*1000/SOTP!$C$18</x:f>
        <x:v>38.19528167116138</x:v>
      </x:c>
    </x:row>
    <x:row r="19">
      <x:c r="A19" s="124" t="n">
        <x:v>16</x:v>
      </x:c>
      <x:c r="B19" s="94" t="n">
        <x:f>((SOTP!$C$7+(SOTP!$C$8*B$15))*$A19+Contracts!$C$33+SOTP!$C$15-SOTP!$C$16)*1000/SOTP!$C$18</x:f>
        <x:v>36.81861500449472</x:v>
      </x:c>
      <x:c r="C19" s="94" t="n">
        <x:f>((SOTP!$C$7+(SOTP!$C$8*C$15))*$A19+Contracts!$C$33+SOTP!$C$15-SOTP!$C$16)*1000/SOTP!$C$18</x:f>
        <x:v>38.200837226716935</x:v>
      </x:c>
      <x:c r="D19" s="94" t="n">
        <x:f>((SOTP!$C$7+(SOTP!$C$8*D$15))*$A19+Contracts!$C$33+SOTP!$C$15-SOTP!$C$16)*1000/SOTP!$C$18</x:f>
        <x:v>39.58305944893916</x:v>
      </x:c>
      <x:c r="E19" s="94" t="n">
        <x:f>((SOTP!$C$7+(SOTP!$C$8*E$15))*$A19+Contracts!$C$33+SOTP!$C$15-SOTP!$C$16)*1000/SOTP!$C$18</x:f>
        <x:v>40.965281671161385</x:v>
      </x:c>
      <x:c r="F19" s="94" t="n">
        <x:f>((SOTP!$C$7+(SOTP!$C$8*F$15))*$A19+Contracts!$C$33+SOTP!$C$15-SOTP!$C$16)*1000/SOTP!$C$18</x:f>
        <x:v>42.347503893383596</x:v>
      </x:c>
      <x:c r="G19" s="94" t="n">
        <x:f>((SOTP!$C$7+(SOTP!$C$8*G$15))*$A19+Contracts!$C$33+SOTP!$C$15-SOTP!$C$16)*1000/SOTP!$C$18</x:f>
        <x:v>43.72972611560582</x:v>
      </x:c>
    </x:row>
    <x:row r="20">
      <x:c r="A20" s="124" t="n">
        <x:v>18</x:v>
      </x:c>
      <x:c r="B20" s="94" t="n">
        <x:f>((SOTP!$C$7+(SOTP!$C$8*B$15))*$A20+Contracts!$C$33+SOTP!$C$15-SOTP!$C$16)*1000/SOTP!$C$18</x:f>
        <x:v>41.48917056005027</x:v>
      </x:c>
      <x:c r="C20" s="94" t="n">
        <x:f>((SOTP!$C$7+(SOTP!$C$8*C$15))*$A20+Contracts!$C$33+SOTP!$C$15-SOTP!$C$16)*1000/SOTP!$C$18</x:f>
        <x:v>43.04417056005027</x:v>
      </x:c>
      <x:c r="D20" s="94" t="n">
        <x:f>((SOTP!$C$7+(SOTP!$C$8*D$15))*$A20+Contracts!$C$33+SOTP!$C$15-SOTP!$C$16)*1000/SOTP!$C$18</x:f>
        <x:v>44.599170560050275</x:v>
      </x:c>
      <x:c r="E20" s="94" t="n">
        <x:f>((SOTP!$C$7+(SOTP!$C$8*E$15))*$A20+Contracts!$C$33+SOTP!$C$15-SOTP!$C$16)*1000/SOTP!$C$18</x:f>
        <x:v>46.154170560050275</x:v>
      </x:c>
      <x:c r="F20" s="94" t="n">
        <x:f>((SOTP!$C$7+(SOTP!$C$8*F$15))*$A20+Contracts!$C$33+SOTP!$C$15-SOTP!$C$16)*1000/SOTP!$C$18</x:f>
        <x:v>47.70917056005026</x:v>
      </x:c>
      <x:c r="G20" s="94" t="n">
        <x:f>((SOTP!$C$7+(SOTP!$C$8*G$15))*$A20+Contracts!$C$33+SOTP!$C$15-SOTP!$C$16)*1000/SOTP!$C$18</x:f>
        <x:v>49.26417056005026</x:v>
      </x:c>
    </x:row>
    <x:row r="23">
      <x:c r="A23" s="49" t="str">
        <x:v>2030 EV/EBITDA $/Share — Multiple vs Net Debt</x:v>
      </x:c>
      <x:c r="B23" s="49" t="str">
        <x:v>2030 EV/EBITDA $/Share — Multiple vs Net Debt</x:v>
      </x:c>
      <x:c r="C23" s="49" t="str">
        <x:v>2030 EV/EBITDA $/Share — Multiple vs Net Debt</x:v>
      </x:c>
      <x:c r="D23" s="49" t="str">
        <x:v>2030 EV/EBITDA $/Share — Multiple vs Net Debt</x:v>
      </x:c>
      <x:c r="E23" s="49" t="str">
        <x:v>2030 EV/EBITDA $/Share — Multiple vs Net Debt</x:v>
      </x:c>
      <x:c r="F23" s="49" t="str">
        <x:v>2030 EV/EBITDA $/Share — Multiple vs Net Debt</x:v>
      </x:c>
      <x:c r="G23" s="49" t="str">
        <x:v>2030 EV/EBITDA $/Share — Multiple vs Net Debt</x:v>
      </x:c>
      <x:c r="H23" s="49" t="str">
        <x:v>2030 EV/EBITDA $/Share — Multiple vs Net Debt</x:v>
      </x:c>
    </x:row>
    <x:row r="24">
      <x:c r="B24" s="124" t="n">
        <x:v>14</x:v>
      </x:c>
      <x:c r="C24" s="124" t="n">
        <x:v>16</x:v>
      </x:c>
      <x:c r="D24" s="124" t="n">
        <x:v>18</x:v>
      </x:c>
      <x:c r="E24" s="124" t="n">
        <x:v>20</x:v>
      </x:c>
      <x:c r="F24" s="124" t="n">
        <x:v>22</x:v>
      </x:c>
      <x:c r="G24" s="124" t="n">
        <x:v>24</x:v>
      </x:c>
    </x:row>
    <x:row r="25">
      <x:c r="A25" s="40" t="n">
        <x:v>3</x:v>
      </x:c>
      <x:c r="B25" s="94" t="n">
        <x:f>((Forecast!F34*B$24-$A25)/(1+11.5%)^4.4)*1000/540</x:f>
        <x:v>27.067267425028575</x:v>
      </x:c>
      <x:c r="C25" s="94" t="n">
        <x:f>((Forecast!F34*C$24-$A25)/(1+11.5%)^4.4)*1000/540</x:f>
        <x:v>31.425629155852903</x:v>
      </x:c>
      <x:c r="D25" s="94" t="n">
        <x:f>((Forecast!F34*D$24-$A25)/(1+11.5%)^4.4)*1000/540</x:f>
        <x:v>35.78399088667722</x:v>
      </x:c>
      <x:c r="E25" s="94" t="n">
        <x:f>((Forecast!F34*E$24-$A25)/(1+11.5%)^4.4)*1000/540</x:f>
        <x:v>40.14235261750155</x:v>
      </x:c>
      <x:c r="F25" s="94" t="n">
        <x:f>((Forecast!F34*F$24-$A25)/(1+11.5%)^4.4)*1000/540</x:f>
        <x:v>44.500714348325864</x:v>
      </x:c>
      <x:c r="G25" s="94" t="n">
        <x:f>((Forecast!F34*G$24-$A25)/(1+11.5%)^4.4)*1000/540</x:f>
        <x:v>48.859076079150185</x:v>
      </x:c>
    </x:row>
    <x:row r="26">
      <x:c r="A26" s="40" t="n">
        <x:v>4</x:v>
      </x:c>
      <x:c r="B26" s="94" t="n">
        <x:f>((Forecast!F34*B$24-$A26)/(1+11.5%)^4.4)*1000/540</x:f>
        <x:v>25.920179194781355</x:v>
      </x:c>
      <x:c r="C26" s="94" t="n">
        <x:f>((Forecast!F34*C$24-$A26)/(1+11.5%)^4.4)*1000/540</x:f>
        <x:v>30.278540925605682</x:v>
      </x:c>
      <x:c r="D26" s="94" t="n">
        <x:f>((Forecast!F34*D$24-$A26)/(1+11.5%)^4.4)*1000/540</x:f>
        <x:v>34.63690265643</x:v>
      </x:c>
      <x:c r="E26" s="94" t="n">
        <x:f>((Forecast!F34*E$24-$A26)/(1+11.5%)^4.4)*1000/540</x:f>
        <x:v>38.99526438725433</x:v>
      </x:c>
      <x:c r="F26" s="94" t="n">
        <x:f>((Forecast!F34*F$24-$A26)/(1+11.5%)^4.4)*1000/540</x:f>
        <x:v>43.35362611807864</x:v>
      </x:c>
      <x:c r="G26" s="94" t="n">
        <x:f>((Forecast!F34*G$24-$A26)/(1+11.5%)^4.4)*1000/540</x:f>
        <x:v>47.711987848902965</x:v>
      </x:c>
    </x:row>
    <x:row r="27">
      <x:c r="A27" s="40" t="n">
        <x:v>5</x:v>
      </x:c>
      <x:c r="B27" s="94" t="n">
        <x:f>((Forecast!F34*B$24-$A27)/(1+11.5%)^4.4)*1000/540</x:f>
        <x:v>24.77309096453413</x:v>
      </x:c>
      <x:c r="C27" s="94" t="n">
        <x:f>((Forecast!F34*C$24-$A27)/(1+11.5%)^4.4)*1000/540</x:f>
        <x:v>29.131452695358455</x:v>
      </x:c>
      <x:c r="D27" s="94" t="n">
        <x:f>((Forecast!F34*D$24-$A27)/(1+11.5%)^4.4)*1000/540</x:f>
        <x:v>33.489814426182775</x:v>
      </x:c>
      <x:c r="E27" s="94" t="n">
        <x:f>((Forecast!F34*E$24-$A27)/(1+11.5%)^4.4)*1000/540</x:f>
        <x:v>37.8481761570071</x:v>
      </x:c>
      <x:c r="F27" s="94" t="n">
        <x:f>((Forecast!F34*F$24-$A27)/(1+11.5%)^4.4)*1000/540</x:f>
        <x:v>42.206537887831416</x:v>
      </x:c>
      <x:c r="G27" s="94" t="n">
        <x:f>((Forecast!F34*G$24-$A27)/(1+11.5%)^4.4)*1000/540</x:f>
        <x:v>46.56489961865574</x:v>
      </x:c>
    </x:row>
    <x:row r="28">
      <x:c r="A28" s="40" t="n">
        <x:v>6</x:v>
      </x:c>
      <x:c r="B28" s="94" t="n">
        <x:f>((Forecast!F34*B$24-$A28)/(1+11.5%)^4.4)*1000/540</x:f>
        <x:v>23.626002734286914</x:v>
      </x:c>
      <x:c r="C28" s="94" t="n">
        <x:f>((Forecast!F34*C$24-$A28)/(1+11.5%)^4.4)*1000/540</x:f>
        <x:v>27.984364465111234</x:v>
      </x:c>
      <x:c r="D28" s="94" t="n">
        <x:f>((Forecast!F34*D$24-$A28)/(1+11.5%)^4.4)*1000/540</x:f>
        <x:v>32.34272619593556</x:v>
      </x:c>
      <x:c r="E28" s="94" t="n">
        <x:f>((Forecast!F34*E$24-$A28)/(1+11.5%)^4.4)*1000/540</x:f>
        <x:v>36.70108792675988</x:v>
      </x:c>
      <x:c r="F28" s="94" t="n">
        <x:f>((Forecast!F34*F$24-$A28)/(1+11.5%)^4.4)*1000/540</x:f>
        <x:v>41.05944965758419</x:v>
      </x:c>
      <x:c r="G28" s="94" t="n">
        <x:f>((Forecast!F34*G$24-$A28)/(1+11.5%)^4.4)*1000/540</x:f>
        <x:v>45.417811388408516</x:v>
      </x:c>
    </x:row>
    <x:row r="29">
      <x:c r="A29" s="40" t="n">
        <x:v>7</x:v>
      </x:c>
      <x:c r="B29" s="94" t="n">
        <x:f>((Forecast!F34*B$24-$A29)/(1+11.5%)^4.4)*1000/540</x:f>
        <x:v>22.47891450403969</x:v>
      </x:c>
      <x:c r="C29" s="94" t="n">
        <x:f>((Forecast!F34*C$24-$A29)/(1+11.5%)^4.4)*1000/540</x:f>
        <x:v>26.837276234864014</x:v>
      </x:c>
      <x:c r="D29" s="94" t="n">
        <x:f>((Forecast!F34*D$24-$A29)/(1+11.5%)^4.4)*1000/540</x:f>
        <x:v>31.19563796568833</x:v>
      </x:c>
      <x:c r="E29" s="94" t="n">
        <x:f>((Forecast!F34*E$24-$A29)/(1+11.5%)^4.4)*1000/540</x:f>
        <x:v>35.553999696512655</x:v>
      </x:c>
      <x:c r="F29" s="94" t="n">
        <x:f>((Forecast!F34*F$24-$A29)/(1+11.5%)^4.4)*1000/540</x:f>
        <x:v>39.912361427336975</x:v>
      </x:c>
      <x:c r="G29" s="94" t="n">
        <x:f>((Forecast!F34*G$24-$A29)/(1+11.5%)^4.4)*1000/540</x:f>
        <x:v>44.270723158161296</x:v>
      </x:c>
    </x:row>
  </x:sheetData>
  <x:mergeCells>
    <x:mergeCell ref="A1:H1"/>
    <x:mergeCell ref="A2:H2"/>
    <x:mergeCell ref="A4:H4"/>
    <x:mergeCell ref="A14:H14"/>
    <x:mergeCell ref="A23:H23"/>
  </x:mergeCells>
  <x:conditionalFormatting sqref="B6:G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16:G20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25:G29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65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CORZ — Full Valuation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10" t="str">
        <x:v>Model date: 7 Aug 2026. Latest reported quarter: Q2 2026. Post-quarter AMD/Neocloud leases are included.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29" t="str">
        <x:v>Base intrinsic value</x:v>
      </x:c>
      <x:c r="B4" s="129"/>
      <x:c r="C4" s="129"/>
      <x:c r="E4" s="129" t="str">
        <x:v>Bear value</x:v>
      </x:c>
      <x:c r="F4" s="129"/>
      <x:c r="G4" s="129"/>
      <x:c r="I4" s="129" t="str">
        <x:v>Bull value</x:v>
      </x:c>
      <x:c r="J4" s="129"/>
      <x:c r="K4" s="129"/>
    </x:row>
    <x:row r="5">
      <x:c r="A5" s="170" t="n">
        <x:f>Valuation!C9</x:f>
        <x:v>30.049632438130068</x:v>
      </x:c>
      <x:c r="B5" s="146"/>
      <x:c r="C5" s="147"/>
      <x:c r="E5" s="170" t="n">
        <x:f>Valuation!B9</x:f>
        <x:v>9.366931949155086</x:v>
      </x:c>
      <x:c r="F5" s="146"/>
      <x:c r="G5" s="147"/>
      <x:c r="I5" s="170" t="n">
        <x:f>Valuation!D9</x:f>
        <x:v>59.70141309648999</x:v>
      </x:c>
      <x:c r="J5" s="146"/>
      <x:c r="K5" s="147"/>
    </x:row>
    <x:row r="6">
      <x:c r="A6" s="148"/>
      <x:c r="B6" s="149"/>
      <x:c r="C6" s="150"/>
      <x:c r="E6" s="148"/>
      <x:c r="F6" s="149"/>
      <x:c r="G6" s="150"/>
      <x:c r="I6" s="148"/>
      <x:c r="J6" s="149"/>
      <x:c r="K6" s="150"/>
    </x:row>
    <x:row r="8">
      <x:c r="A8" s="129" t="str">
        <x:v>Current price</x:v>
      </x:c>
      <x:c r="B8" s="129"/>
      <x:c r="C8" s="129"/>
      <x:c r="E8" s="129" t="str">
        <x:v>Base upside</x:v>
      </x:c>
      <x:c r="F8" s="129"/>
      <x:c r="G8" s="129"/>
      <x:c r="I8" s="129" t="str">
        <x:v>Signed HDC capacity</x:v>
      </x:c>
      <x:c r="J8" s="129"/>
      <x:c r="K8" s="129"/>
    </x:row>
    <x:row r="9">
      <x:c r="A9" s="170" t="n">
        <x:f>Historical!F32</x:f>
        <x:v>21.16</x:v>
      </x:c>
      <x:c r="B9" s="146"/>
      <x:c r="C9" s="147"/>
      <x:c r="E9" s="172" t="n">
        <x:f>Valuation!C22</x:f>
        <x:v>0.42011495454300896</x:v>
      </x:c>
      <x:c r="F9" s="146"/>
      <x:c r="G9" s="147"/>
      <x:c r="I9" s="186" t="str">
        <x:v>~1.1 GW</x:v>
      </x:c>
      <x:c r="J9" s="187"/>
      <x:c r="K9" s="188"/>
    </x:row>
    <x:row r="10">
      <x:c r="A10" s="148"/>
      <x:c r="B10" s="149"/>
      <x:c r="C10" s="150"/>
      <x:c r="E10" s="148"/>
      <x:c r="F10" s="149"/>
      <x:c r="G10" s="150"/>
      <x:c r="I10" s="189"/>
      <x:c r="J10" s="190"/>
      <x:c r="K10" s="191"/>
    </x:row>
    <x:row r="12">
      <x:c r="A12" s="129" t="str">
        <x:v>Q2 colocation revenue</x:v>
      </x:c>
      <x:c r="B12" s="129"/>
      <x:c r="C12" s="129"/>
      <x:c r="E12" s="129" t="str">
        <x:v>Liquidity</x:v>
      </x:c>
      <x:c r="F12" s="129"/>
      <x:c r="G12" s="129"/>
      <x:c r="I12" s="129" t="str">
        <x:v>Current net debt</x:v>
      </x:c>
      <x:c r="J12" s="129"/>
      <x:c r="K12" s="129"/>
    </x:row>
    <x:row r="13">
      <x:c r="A13" s="170" t="n">
        <x:f>Historical!D6/1000</x:f>
        <x:v>0.1367</x:v>
      </x:c>
      <x:c r="B13" s="146"/>
      <x:c r="C13" s="147"/>
      <x:c r="E13" s="170" t="n">
        <x:f>CapitalStructure!B5</x:f>
        <x:v>1.81941</x:v>
      </x:c>
      <x:c r="F13" s="146"/>
      <x:c r="G13" s="147"/>
      <x:c r="I13" s="170" t="n">
        <x:f>CapitalStructure!B7</x:f>
        <x:v>2.56559</x:v>
      </x:c>
      <x:c r="J13" s="146"/>
      <x:c r="K13" s="147"/>
    </x:row>
    <x:row r="14">
      <x:c r="A14" s="148"/>
      <x:c r="B14" s="149"/>
      <x:c r="C14" s="150"/>
      <x:c r="E14" s="148"/>
      <x:c r="F14" s="149"/>
      <x:c r="G14" s="150"/>
      <x:c r="I14" s="148"/>
      <x:c r="J14" s="149"/>
      <x:c r="K14" s="150"/>
    </x:row>
    <x:row r="16">
      <x:c r="A16" s="49" t="str">
        <x:v>Valuation Methods</x:v>
      </x:c>
      <x:c r="B16" s="49" t="str">
        <x:v>Valuation Methods</x:v>
      </x:c>
      <x:c r="C16" s="49" t="str">
        <x:v>Valuation Methods</x:v>
      </x:c>
      <x:c r="D16" s="49" t="str">
        <x:v>Valuation Methods</x:v>
      </x:c>
      <x:c r="E16" s="49" t="str">
        <x:v>Valuation Methods</x:v>
      </x:c>
      <x:c r="F16" s="49" t="str">
        <x:v>Valuation Methods</x:v>
      </x:c>
      <x:c r="G16" s="49" t="str">
        <x:v>Valuation Methods</x:v>
      </x:c>
      <x:c r="H16" s="49" t="str">
        <x:v>Valuation Methods</x:v>
      </x:c>
      <x:c r="I16" s="49" t="str">
        <x:v>Valuation Methods</x:v>
      </x:c>
      <x:c r="J16" s="49" t="str">
        <x:v>Valuation Methods</x:v>
      </x:c>
      <x:c r="K16" s="49" t="str">
        <x:v>Valuation Methods</x:v>
      </x:c>
      <x:c r="L16" s="49" t="str">
        <x:v>Valuation Methods</x:v>
      </x:c>
      <x:c r="M16" s="49" t="str">
        <x:v>Valuation Methods</x:v>
      </x:c>
      <x:c r="N16" s="49" t="str">
        <x:v>Valuation Methods</x:v>
      </x:c>
    </x:row>
    <x:row r="17">
      <x:c r="A17" s="19" t="str">
        <x:v>Method</x:v>
      </x:c>
      <x:c r="B17" s="19" t="str">
        <x:v>Bear</x:v>
      </x:c>
      <x:c r="C17" s="19" t="str">
        <x:v>Base</x:v>
      </x:c>
      <x:c r="D17" s="19" t="str">
        <x:v>Bull</x:v>
      </x:c>
      <x:c r="P17" t="str">
        <x:v>2026E</x:v>
      </x:c>
      <x:c r="Q17" t="str">
        <x:v>2027E</x:v>
      </x:c>
      <x:c r="R17" t="str">
        <x:v>2028E</x:v>
      </x:c>
      <x:c r="S17" t="str">
        <x:v>2029E</x:v>
      </x:c>
      <x:c r="T17" t="str">
        <x:v>2030E</x:v>
      </x:c>
      <x:c r="U17" t="str">
        <x:v>2031E</x:v>
      </x:c>
      <x:c r="V17" t="str">
        <x:v>2032E</x:v>
      </x:c>
      <x:c r="W17" t="str">
        <x:v>2033E</x:v>
      </x:c>
      <x:c r="X17" t="str">
        <x:v>2034E</x:v>
      </x:c>
      <x:c r="Y17" t="str">
        <x:v>2035E</x:v>
      </x:c>
    </x:row>
    <x:row r="18">
      <x:c r="A18" t="str">
        <x:v>Contracted HDC SOTP</x:v>
      </x:c>
      <x:c r="B18" s="94" t="n">
        <x:f>Valuation!B5</x:f>
        <x:v>13.091543129930114</x:v>
      </x:c>
      <x:c r="C18" s="94" t="n">
        <x:f>Valuation!C5</x:f>
        <x:v>36.50205944893916</x:v>
      </x:c>
      <x:c r="D18" s="94" t="n">
        <x:f>Valuation!D5</x:f>
        <x:v>71.47532737481995</x:v>
      </x:c>
      <x:c r="P18" s="94" t="n">
        <x:f>Forecast!B31</x:f>
        <x:v>0.71</x:v>
      </x:c>
      <x:c r="Q18" s="94" t="n">
        <x:f>Forecast!C31</x:f>
        <x:v>1.06</x:v>
      </x:c>
      <x:c r="R18" s="94" t="n">
        <x:f>Forecast!D31</x:f>
        <x:v>1.8</x:v>
      </x:c>
      <x:c r="S18" s="94" t="n">
        <x:f>Forecast!E31</x:f>
        <x:v>2.183</x:v>
      </x:c>
      <x:c r="T18" s="94" t="n">
        <x:f>Forecast!F31</x:f>
        <x:v>2.533</x:v>
      </x:c>
      <x:c r="U18" s="94" t="n">
        <x:f>Forecast!G31</x:f>
        <x:v>2.883</x:v>
      </x:c>
      <x:c r="V18" s="94" t="n">
        <x:f>Forecast!H31</x:f>
        <x:v>3.183</x:v>
      </x:c>
      <x:c r="W18" s="94" t="n">
        <x:f>Forecast!I31</x:f>
        <x:v>3.4829999999999997</x:v>
      </x:c>
      <x:c r="X18" s="94" t="n">
        <x:f>Forecast!J31</x:f>
        <x:v>3.783</x:v>
      </x:c>
      <x:c r="Y18" s="94" t="n">
        <x:f>Forecast!K31</x:f>
        <x:v>4.0329999999999995</x:v>
      </x:c>
    </x:row>
    <x:row r="19">
      <x:c r="A19" t="str">
        <x:v>2028 Forward EBITDA</x:v>
      </x:c>
      <x:c r="B19" s="94" t="n">
        <x:f>Valuation!B6</x:f>
        <x:v>4.73739064379298</x:v>
      </x:c>
      <x:c r="C19" s="94" t="n">
        <x:f>Valuation!C6</x:f>
        <x:v>25.448887210610835</x:v>
      </x:c>
      <x:c r="D19" s="94" t="n">
        <x:f>Valuation!D6</x:f>
        <x:v>46.72470808116294</x:v>
      </x:c>
      <x:c r="P19" s="94" t="n">
        <x:f>Forecast!B34</x:f>
        <x:v>0.1775</x:v>
      </x:c>
      <x:c r="Q19" s="94" t="n">
        <x:f>Forecast!C34</x:f>
        <x:v>0.5830000000000001</x:v>
      </x:c>
      <x:c r="R19" s="94" t="n">
        <x:f>Forecast!D34</x:f>
        <x:v>1.26</x:v>
      </x:c>
      <x:c r="S19" s="94" t="n">
        <x:f>Forecast!E34</x:f>
        <x:v>1.5935899999999998</x:v>
      </x:c>
      <x:c r="T19" s="94" t="n">
        <x:f>Forecast!F34</x:f>
        <x:v>1.89975</x:v>
      </x:c>
      <x:c r="U19" s="94" t="n">
        <x:f>Forecast!G34</x:f>
        <x:v>2.19108</x:v>
      </x:c>
      <x:c r="V19" s="94" t="n">
        <x:f>Forecast!H34</x:f>
        <x:v>2.41908</x:v>
      </x:c>
      <x:c r="W19" s="94" t="n">
        <x:f>Forecast!I34</x:f>
        <x:v>2.68191</x:v>
      </x:c>
      <x:c r="X19" s="94" t="n">
        <x:f>Forecast!J34</x:f>
        <x:v>2.91291</x:v>
      </x:c>
      <x:c r="Y19" s="94" t="n">
        <x:f>Forecast!K34</x:f>
        <x:v>3.1054099999999996</x:v>
      </x:c>
    </x:row>
    <x:row r="20">
      <x:c r="A20" t="str">
        <x:v>2030 EV/EBITDA</x:v>
      </x:c>
      <x:c r="B20" s="94" t="n">
        <x:f>Valuation!B7</x:f>
        <x:v>10.912084821611897</x:v>
      </x:c>
      <x:c r="C20" s="94" t="n">
        <x:f>Valuation!C7</x:f>
        <x:v>36.24253940671854</x:v>
      </x:c>
      <x:c r="D20" s="94" t="n">
        <x:f>Valuation!D7</x:f>
        <x:v>67.34528987901096</x:v>
      </x:c>
    </x:row>
    <x:row r="21">
      <x:c r="A21" t="str">
        <x:v>DCF</x:v>
      </x:c>
      <x:c r="B21" s="94" t="n">
        <x:f>Valuation!B8</x:f>
        <x:v>0</x:v>
      </x:c>
      <x:c r="C21" s="94" t="n">
        <x:f>Valuation!C8</x:f>
        <x:v>0</x:v>
      </x:c>
      <x:c r="D21" s="94" t="n">
        <x:f>Valuation!D8</x:f>
        <x:v>21.807789069376394</x:v>
      </x:c>
    </x:row>
    <x:row r="22">
      <x:c r="A22" s="86" t="str">
        <x:v>Blended</x:v>
      </x:c>
      <x:c r="B22" s="87" t="n">
        <x:f>Valuation!B9</x:f>
        <x:v>9.366931949155086</x:v>
      </x:c>
      <x:c r="C22" s="87" t="n">
        <x:f>Valuation!C9</x:f>
        <x:v>30.049632438130068</x:v>
      </x:c>
      <x:c r="D22" s="87" t="n">
        <x:f>Valuation!D9</x:f>
        <x:v>59.70141309648999</x:v>
      </x:c>
      <x:c r="P22" t="str">
        <x:v>2026E</x:v>
      </x:c>
      <x:c r="Q22" t="str">
        <x:v>2027E</x:v>
      </x:c>
      <x:c r="R22" t="str">
        <x:v>2028E</x:v>
      </x:c>
      <x:c r="S22" t="str">
        <x:v>2029E</x:v>
      </x:c>
      <x:c r="T22" t="str">
        <x:v>2030E</x:v>
      </x:c>
      <x:c r="U22" t="str">
        <x:v>2031E</x:v>
      </x:c>
      <x:c r="V22" t="str">
        <x:v>2032E</x:v>
      </x:c>
      <x:c r="W22" t="str">
        <x:v>2033E</x:v>
      </x:c>
      <x:c r="X22" t="str">
        <x:v>2034E</x:v>
      </x:c>
      <x:c r="Y22" t="str">
        <x:v>2035E</x:v>
      </x:c>
    </x:row>
    <x:row r="23">
      <x:c r="P23" s="214" t="n">
        <x:f>Forecast!B43</x:f>
        <x:v>520</x:v>
      </x:c>
      <x:c r="Q23" s="214" t="n">
        <x:f>Forecast!C43</x:f>
        <x:v>720</x:v>
      </x:c>
      <x:c r="R23" s="214" t="n">
        <x:f>Forecast!D43</x:f>
        <x:v>1120</x:v>
      </x:c>
      <x:c r="S23" s="214" t="n">
        <x:f>Forecast!E43</x:f>
        <x:v>1370</x:v>
      </x:c>
      <x:c r="T23" s="214" t="n">
        <x:f>Forecast!F43</x:f>
        <x:v>1580</x:v>
      </x:c>
      <x:c r="U23" s="214" t="n">
        <x:f>Forecast!G43</x:f>
        <x:v>1780</x:v>
      </x:c>
      <x:c r="V23" s="214" t="n">
        <x:f>Forecast!H43</x:f>
        <x:v>1970</x:v>
      </x:c>
      <x:c r="W23" s="214" t="n">
        <x:f>Forecast!I43</x:f>
        <x:v>2160</x:v>
      </x:c>
      <x:c r="X23" s="214" t="n">
        <x:f>Forecast!J43</x:f>
        <x:v>2350</x:v>
      </x:c>
      <x:c r="Y23" s="214" t="n">
        <x:f>Forecast!K43</x:f>
        <x:v>2500</x:v>
      </x:c>
    </x:row>
    <x:row r="25">
      <x:c r="A25" s="49" t="str">
        <x:v>Investment Thesis / Risk Monitor</x:v>
      </x:c>
      <x:c r="B25" s="49" t="str">
        <x:v>Investment Thesis / Risk Monitor</x:v>
      </x:c>
      <x:c r="C25" s="49" t="str">
        <x:v>Investment Thesis / Risk Monitor</x:v>
      </x:c>
      <x:c r="D25" s="49" t="str">
        <x:v>Investment Thesis / Risk Monitor</x:v>
      </x:c>
      <x:c r="E25" s="49" t="str">
        <x:v>Investment Thesis / Risk Monitor</x:v>
      </x:c>
      <x:c r="F25" s="49" t="str">
        <x:v>Investment Thesis / Risk Monitor</x:v>
      </x:c>
      <x:c r="G25" s="49" t="str">
        <x:v>Investment Thesis / Risk Monitor</x:v>
      </x:c>
      <x:c r="H25" s="49" t="str">
        <x:v>Investment Thesis / Risk Monitor</x:v>
      </x:c>
      <x:c r="I25" s="49" t="str">
        <x:v>Investment Thesis / Risk Monitor</x:v>
      </x:c>
      <x:c r="J25" s="49" t="str">
        <x:v>Investment Thesis / Risk Monitor</x:v>
      </x:c>
      <x:c r="K25" s="49" t="str">
        <x:v>Investment Thesis / Risk Monitor</x:v>
      </x:c>
      <x:c r="L25" s="49" t="str">
        <x:v>Investment Thesis / Risk Monitor</x:v>
      </x:c>
      <x:c r="M25" s="49" t="str">
        <x:v>Investment Thesis / Risk Monitor</x:v>
      </x:c>
      <x:c r="N25" s="49" t="str">
        <x:v>Investment Thesis / Risk Monitor</x:v>
      </x:c>
    </x:row>
    <x:row r="26">
      <x:c r="A26" s="19" t="str">
        <x:v>Driver</x:v>
      </x:c>
      <x:c r="B26" s="19" t="str">
        <x:v>Current signal</x:v>
      </x:c>
      <x:c r="C26" s="19" t="str">
        <x:v>Model implication</x:v>
      </x:c>
      <x:c r="D26" s="19" t="str">
        <x:v>Evidence</x:v>
      </x:c>
    </x:row>
    <x:row r="27">
      <x:c r="A27" s="26" t="str">
        <x:v>CoreWeave delivery</x:v>
      </x:c>
      <x:c r="B27" s="212" t="str">
        <x:v>Positive</x:v>
      </x:c>
      <x:c r="C27" s="26" t="str">
        <x:v>437MW billing vs 590MW leased: remaining ramp is near-term visible revenue.</x:v>
      </x:c>
      <x:c r="D27" s="26" t="str">
        <x:v>S1/S2</x:v>
      </x:c>
    </x:row>
    <x:row r="28">
      <x:c r="A28" s="26" t="str">
        <x:v>AMD / Neocloud deal</x:v>
      </x:c>
      <x:c r="B28" s="212" t="str">
        <x:v>Major positive</x:v>
      </x:c>
      <x:c r="C28" s="26" t="str">
        <x:v>529MW / 15 years / $14B+ materially diversifies customer base and extends duration.</x:v>
      </x:c>
      <x:c r="D28" s="26" t="str">
        <x:v>S1/S2</x:v>
      </x:c>
    </x:row>
    <x:row r="29">
      <x:c r="A29" s="26" t="str">
        <x:v>Customer concentration</x:v>
      </x:c>
      <x:c r="B29" s="212" t="str">
        <x:v>Still high</x:v>
      </x:c>
      <x:c r="C29" s="26" t="str">
        <x:v>H1 CoreWeave represented ~77% of revenue; AMD reduces but does not eliminate concentration.</x:v>
      </x:c>
      <x:c r="D29" s="26" t="str">
        <x:v>S2</x:v>
      </x:c>
    </x:row>
    <x:row r="30">
      <x:c r="A30" s="26" t="str">
        <x:v>Pipeline optionality</x:v>
      </x:c>
      <x:c r="B30" s="212" t="str">
        <x:v>Large</x:v>
      </x:c>
      <x:c r="C30" s="26" t="str">
        <x:v>AMD reservation right + broader pipeline create substantial upside, but unsigned MW is probability-weighted.</x:v>
      </x:c>
      <x:c r="D30" s="26" t="str">
        <x:v>S2/S3</x:v>
      </x:c>
    </x:row>
    <x:row r="31">
      <x:c r="A31" s="26" t="str">
        <x:v>Funding / leverage</x:v>
      </x:c>
      <x:c r="B31" s="212" t="str">
        <x:v>Key risk</x:v>
      </x:c>
      <x:c r="C31" s="26" t="str">
        <x:v>$4.385B debt principal vs $1.819B liquidity before additional AMD build financing.</x:v>
      </x:c>
      <x:c r="D31" s="26" t="str">
        <x:v>S1/S2</x:v>
      </x:c>
    </x:row>
    <x:row r="32">
      <x:c r="A32" s="26" t="str">
        <x:v>Dilution</x:v>
      </x:c>
      <x:c r="B32" s="212" t="str">
        <x:v>Very material</x:v>
      </x:c>
      <x:c r="C32" s="26" t="str">
        <x:v>96.4M $6.81 warrants, stock awards, converts, and up to 30M AMD warrants.</x:v>
      </x:c>
      <x:c r="D32" s="26" t="str">
        <x:v>S2</x:v>
      </x:c>
    </x:row>
    <x:row r="33">
      <x:c r="A33" s="26" t="str">
        <x:v>Mining transition</x:v>
      </x:c>
      <x:c r="B33" s="212" t="str">
        <x:v>Positive structurally</x:v>
      </x:c>
      <x:c r="C33" s="26" t="str">
        <x:v>HDC is now primary business; hosted mining expected to end by YE2026 and self-mining is winding down.</x:v>
      </x:c>
      <x:c r="D33" s="26" t="str">
        <x:v>S2</x:v>
      </x:c>
    </x:row>
  </x:sheetData>
  <x:mergeCells>
    <x:mergeCell ref="A1:N1"/>
    <x:mergeCell ref="A2:N2"/>
    <x:mergeCell ref="A4:C4"/>
    <x:mergeCell ref="A5:C6"/>
    <x:mergeCell ref="E4:G4"/>
    <x:mergeCell ref="E5:G6"/>
    <x:mergeCell ref="I4:K4"/>
    <x:mergeCell ref="I5:K6"/>
    <x:mergeCell ref="A8:C8"/>
    <x:mergeCell ref="A9:C10"/>
    <x:mergeCell ref="E8:G8"/>
    <x:mergeCell ref="E9:G10"/>
    <x:mergeCell ref="I8:K8"/>
    <x:mergeCell ref="I9:K10"/>
    <x:mergeCell ref="A12:C12"/>
    <x:mergeCell ref="A13:C14"/>
    <x:mergeCell ref="E12:G12"/>
    <x:mergeCell ref="E13:G14"/>
    <x:mergeCell ref="I12:K12"/>
    <x:mergeCell ref="I13:K14"/>
    <x:mergeCell ref="A16:N16"/>
    <x:mergeCell ref="A25:N25"/>
  </x:mergeCells>
  <x:pageMargins left="0.7" right="0.7" top="0.75" bottom="0.75" header="0.3" footer="0.3"/>
  <x:drawing xmlns:r="http://schemas.openxmlformats.org/officeDocument/2006/relationships" r:id="R2d4c07e37a194103"/>
</x:worksheet>
</file>