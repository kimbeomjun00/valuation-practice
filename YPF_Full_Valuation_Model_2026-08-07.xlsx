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09d91337d41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84ad7343c51946d4"/>
    <x:sheet xmlns:r="http://schemas.openxmlformats.org/officeDocument/2006/relationships" name="Historical" sheetId="2" r:id="Rb305334bf7214936"/>
    <x:sheet xmlns:r="http://schemas.openxmlformats.org/officeDocument/2006/relationships" name="Production" sheetId="3" r:id="R6f593a2c2d2e4e52"/>
    <x:sheet xmlns:r="http://schemas.openxmlformats.org/officeDocument/2006/relationships" name="Optionality" sheetId="4" r:id="Rfcf7b7c562864a05"/>
    <x:sheet xmlns:r="http://schemas.openxmlformats.org/officeDocument/2006/relationships" name="CapitalStructure" sheetId="5" r:id="R555b1dbeb1904ab8"/>
    <x:sheet xmlns:r="http://schemas.openxmlformats.org/officeDocument/2006/relationships" name="Forecast" sheetId="6" r:id="Rba9f7d6586d34069"/>
    <x:sheet xmlns:r="http://schemas.openxmlformats.org/officeDocument/2006/relationships" name="SOTP" sheetId="7" r:id="Rcb6a687c62874354"/>
    <x:sheet xmlns:r="http://schemas.openxmlformats.org/officeDocument/2006/relationships" name="Multiples" sheetId="8" r:id="R3840a663c37a4662"/>
    <x:sheet xmlns:r="http://schemas.openxmlformats.org/officeDocument/2006/relationships" name="DCF" sheetId="9" r:id="R941292a9abe5457d"/>
    <x:sheet xmlns:r="http://schemas.openxmlformats.org/officeDocument/2006/relationships" name="Valuation" sheetId="10" r:id="Rc48bd3d349714186"/>
    <x:sheet xmlns:r="http://schemas.openxmlformats.org/officeDocument/2006/relationships" name="Sensitivity" sheetId="11" r:id="R0f8b7a665d3e4b32"/>
    <x:sheet xmlns:r="http://schemas.openxmlformats.org/officeDocument/2006/relationships" name="Dashboard" sheetId="12" r:id="Rdeedeb398d7241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$0.00;[Red]($0.00);-"/>
    <x:numFmt numFmtId="201" formatCode="0.0%;[Red](0.0%);-"/>
    <x:numFmt numFmtId="202" formatCode="#,##0"/>
    <x:numFmt numFmtId="203" formatCode="#,##0.0;[Red](#,##0.0);-"/>
    <x:numFmt numFmtId="204" formatCode="$0.0"/>
    <x:numFmt numFmtId="205" formatCode="0.0"/>
    <x:numFmt numFmtId="206" formatCode="0.0x"/>
    <x:numFmt numFmtId="207" formatCode="0.000"/>
    <x:numFmt numFmtId="208" formatCode="0.000x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9"/>
      <x:color rgb="FF6B7280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i/>
      <x:sz val="11"/>
      <x:color rgb="FF6B7280"/>
      <x:name val="Carlito"/>
    </x:font>
    <x:font>
      <x:sz val="11"/>
      <x:color rgb="FF000000"/>
      <x:name val="Carlito"/>
    </x:font>
    <x:font>
      <x:b/>
      <x:sz val="10"/>
      <x:color rgb="FFFFFFFF"/>
      <x:name val="Carlito"/>
    </x:font>
    <x:font>
      <x:sz val="11"/>
      <x:color rgb="FF008000"/>
      <x:name val="Carlito"/>
    </x:font>
    <x:font>
      <x:b/>
      <x:sz val="9"/>
      <x:color rgb="FFFFFFFF"/>
      <x:name val="Carlito"/>
    </x:font>
    <x:font>
      <x:b/>
      <x:sz val="15"/>
      <x:color rgb="FF008000"/>
      <x:name val="Carlito"/>
    </x:font>
    <x:font>
      <x:b/>
      <x:sz val="15"/>
      <x:color rgb="FF000000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3F6FA"/>
      </x:patternFill>
    </x:fill>
    <x:fill>
      <x:patternFill patternType="solid">
        <x:fgColor rgb="FFD9E2F3"/>
      </x:patternFill>
    </x:fill>
    <x:fill>
      <x:patternFill patternType="solid">
        <x:fgColor rgb="FF132A4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</x:fills>
  <x:borders count="16">
    <x:border/>
    <x:border/>
    <x:border>
      <x:bottom style="thin">
        <x:color rgb="FF808080"/>
      </x:bottom>
    </x:border>
    <x:border>
      <x:bottom style="thin">
        <x:color rgb="FF808080"/>
      </x:bottom>
    </x:border>
    <x:border>
      <x:top style="medium">
        <x:color rgb="FF000000"/>
      </x:top>
    </x:border>
    <x:border>
      <x:top style="medium">
        <x:color rgb="FF000000"/>
      </x:top>
    </x:border>
    <x:border>
      <x:left style="thin">
        <x:color rgb="FFB0B0B0"/>
      </x:left>
    </x:border>
    <x:border>
      <x:right style="thin">
        <x:color rgb="FFB0B0B0"/>
      </x:right>
    </x:border>
    <x:border>
      <x:left style="thin">
        <x:color rgb="FFB0B0B0"/>
      </x:left>
      <x:bottom style="thin">
        <x:color rgb="FFB0B0B0"/>
      </x:bottom>
    </x:border>
    <x:border>
      <x:bottom style="thin">
        <x:color rgb="FFB0B0B0"/>
      </x:bottom>
    </x:border>
    <x:border>
      <x:right style="thin">
        <x:color rgb="FFB0B0B0"/>
      </x:right>
      <x:bottom style="thin">
        <x:color rgb="FFB0B0B0"/>
      </x:bottom>
    </x:border>
    <x:border>
      <x:left style="thin">
        <x:color rgb="FFB0B0B0"/>
      </x:left>
    </x:border>
    <x:border>
      <x:right style="thin">
        <x:color rgb="FFB0B0B0"/>
      </x:right>
    </x:border>
    <x:border>
      <x:left style="thin">
        <x:color rgb="FFB0B0B0"/>
      </x:left>
      <x:bottom style="thin">
        <x:color rgb="FFB0B0B0"/>
      </x:bottom>
    </x:border>
    <x:border>
      <x:bottom style="thin">
        <x:color rgb="FFB0B0B0"/>
      </x:bottom>
    </x:border>
    <x:border>
      <x:right style="thin">
        <x:color rgb="FFB0B0B0"/>
      </x:right>
      <x:bottom style="thin">
        <x:color rgb="FFB0B0B0"/>
      </x:bottom>
    </x:border>
  </x:borders>
  <x:cellStyleXfs count="1">
    <x:xf numFmtId="0" fontId="0" fillId="0" borderId="0"/>
  </x:cellStyleXfs>
  <x:cellXfs count="2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205" fontId="4" fillId="0" borderId="0" xfId="0" applyNumberFormat="1" applyFont="1" applyFill="1" applyBorder="1"/>
    <x:xf numFmtId="205" fontId="4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200" fontId="4" fillId="6" borderId="0" xfId="0" applyNumberFormat="1" applyFont="1" applyFill="1" applyBorder="1"/>
    <x:xf numFmtId="200" fontId="4" fillId="6" borderId="1" xfId="0" applyNumberFormat="1" applyFont="1" applyFill="1" applyBorder="1"/>
    <x:xf numFmtId="206" fontId="4" fillId="6" borderId="0" xfId="0" applyNumberFormat="1" applyFont="1" applyFill="1" applyBorder="1"/>
    <x:xf numFmtId="206" fontId="4" fillId="6" borderId="1" xfId="0" applyNumberFormat="1" applyFont="1" applyFill="1" applyBorder="1"/>
    <x:xf numFmtId="200" fontId="6" fillId="6" borderId="0" xfId="0" applyNumberFormat="1" applyFont="1" applyFill="1" applyBorder="1"/>
    <x:xf numFmtId="200" fontId="6" fillId="6" borderId="1" xfId="0" applyNumberFormat="1" applyFont="1" applyFill="1" applyBorder="1"/>
    <x:xf numFmtId="201" fontId="6" fillId="6" borderId="0" xfId="0" applyNumberFormat="1" applyFont="1" applyFill="1" applyBorder="1"/>
    <x:xf numFmtId="201" fontId="6" fillId="6" borderId="1" xfId="0" applyNumberFormat="1" applyFont="1" applyFill="1" applyBorder="1"/>
    <x:xf numFmtId="205" fontId="6" fillId="6" borderId="0" xfId="0" applyNumberFormat="1" applyFont="1" applyFill="1" applyBorder="1"/>
    <x:xf numFmtId="205" fontId="6" fillId="6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0" fontId="0" fillId="7" borderId="0" xfId="0" applyNumberFormat="1" applyFont="1" applyFill="1" applyBorder="1"/>
    <x:xf numFmtId="200" fontId="6" fillId="7" borderId="0" xfId="0" applyNumberFormat="1" applyFont="1" applyFill="1" applyBorder="1"/>
    <x:xf numFmtId="0" fontId="3" fillId="7" borderId="0" xfId="0" applyNumberFormat="1" applyFont="1" applyFill="1" applyBorder="1"/>
    <x:xf numFmtId="200" fontId="3" fillId="7" borderId="0" xfId="0" applyNumberFormat="1" applyFont="1" applyFill="1" applyBorder="1"/>
    <x:xf numFmtId="0" fontId="0" fillId="7" borderId="1" xfId="0" applyNumberFormat="1" applyFont="1" applyFill="1" applyBorder="1"/>
    <x:xf numFmtId="200" fontId="6" fillId="7" borderId="1" xfId="0" applyNumberFormat="1" applyFont="1" applyFill="1" applyBorder="1"/>
    <x:xf numFmtId="0" fontId="3" fillId="7" borderId="1" xfId="0" applyNumberFormat="1" applyFont="1" applyFill="1" applyBorder="1"/>
    <x:xf numFmtId="200" fontId="3" fillId="7" borderId="1" xfId="0" applyNumberFormat="1" applyFont="1" applyFill="1" applyBorder="1"/>
    <x:xf numFmtId="206" fontId="4" fillId="0" borderId="0" xfId="0" applyNumberFormat="1" applyFont="1" applyFill="1" applyBorder="1"/>
    <x:xf numFmtId="206" fontId="4" fillId="0" borderId="1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5" fontId="4" fillId="6" borderId="0" xfId="0" applyNumberFormat="1" applyFont="1" applyFill="1" applyBorder="1"/>
    <x:xf numFmtId="205" fontId="4" fillId="6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4" fontId="4" fillId="6" borderId="0" xfId="0" applyNumberFormat="1" applyFont="1" applyFill="1" applyBorder="1"/>
    <x:xf numFmtId="204" fontId="4" fillId="6" borderId="1" xfId="0" applyNumberFormat="1" applyFont="1" applyFill="1" applyBorder="1"/>
    <x:xf numFmtId="202" fontId="6" fillId="6" borderId="0" xfId="0" applyNumberFormat="1" applyFont="1" applyFill="1" applyBorder="1"/>
    <x:xf numFmtId="202" fontId="6" fillId="6" borderId="1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7" fontId="4" fillId="6" borderId="0" xfId="0" applyNumberFormat="1" applyFont="1" applyFill="1" applyBorder="1"/>
    <x:xf numFmtId="207" fontId="4" fillId="6" borderId="1" xfId="0" applyNumberFormat="1" applyFont="1" applyFill="1" applyBorder="1"/>
    <x:xf numFmtId="206" fontId="6" fillId="6" borderId="0" xfId="0" applyNumberFormat="1" applyFont="1" applyFill="1" applyBorder="1"/>
    <x:xf numFmtId="206" fontId="6" fillId="6" borderId="1" xfId="0" applyNumberFormat="1" applyFont="1" applyFill="1" applyBorder="1"/>
    <x:xf numFmtId="200" fontId="8" fillId="6" borderId="0" xfId="0" applyNumberFormat="1" applyFont="1" applyFill="1" applyBorder="1"/>
    <x:xf numFmtId="200" fontId="8" fillId="0" borderId="0" xfId="0" applyNumberFormat="1" applyFont="1" applyFill="1" applyBorder="1"/>
    <x:xf numFmtId="200" fontId="8" fillId="6" borderId="1" xfId="0" applyNumberFormat="1" applyFont="1" applyFill="1" applyBorder="1"/>
    <x:xf numFmtId="200" fontId="8" fillId="0" borderId="1" xfId="0" applyNumberFormat="1" applyFont="1" applyFill="1" applyBorder="1"/>
    <x:xf numFmtId="205" fontId="8" fillId="0" borderId="0" xfId="0" applyNumberFormat="1" applyFont="1" applyFill="1" applyBorder="1"/>
    <x:xf numFmtId="205" fontId="8" fillId="0" borderId="1" xfId="0" applyNumberFormat="1" applyFont="1" applyFill="1" applyBorder="1"/>
    <x:xf numFmtId="0" fontId="3" fillId="7" borderId="4" xfId="0" applyNumberFormat="1" applyFont="1" applyFill="1" applyBorder="1"/>
    <x:xf numFmtId="200" fontId="3" fillId="7" borderId="4" xfId="0" applyNumberFormat="1" applyFont="1" applyFill="1" applyBorder="1"/>
    <x:xf numFmtId="0" fontId="3" fillId="7" borderId="5" xfId="0" applyNumberFormat="1" applyFont="1" applyFill="1" applyBorder="1"/>
    <x:xf numFmtId="200" fontId="3" fillId="7" borderId="5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208" fontId="6" fillId="0" borderId="0" xfId="0" applyNumberFormat="1" applyFont="1" applyFill="1" applyBorder="1"/>
    <x:xf numFmtId="208" fontId="6" fillId="0" borderId="1" xfId="0" applyNumberFormat="1" applyFont="1" applyFill="1" applyBorder="1"/>
    <x:xf numFmtId="201" fontId="4" fillId="6" borderId="0" xfId="0" applyNumberFormat="1" applyFont="1" applyFill="1" applyBorder="1"/>
    <x:xf numFmtId="201" fontId="4" fillId="6" borderId="1" xfId="0" applyNumberFormat="1" applyFont="1" applyFill="1" applyBorder="1"/>
    <x:xf numFmtId="206" fontId="8" fillId="0" borderId="0" xfId="0" applyNumberFormat="1" applyFont="1" applyFill="1" applyBorder="1"/>
    <x:xf numFmtId="206" fontId="8" fillId="0" borderId="1" xfId="0" applyNumberFormat="1" applyFont="1" applyFill="1" applyBorder="1"/>
    <x:xf numFmtId="202" fontId="8" fillId="0" borderId="0" xfId="0" applyNumberFormat="1" applyFont="1" applyFill="1" applyBorder="1"/>
    <x:xf numFmtId="202" fontId="8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0" fontId="10" fillId="8" borderId="9" xfId="0" applyNumberFormat="1" applyFont="1" applyFill="1" applyBorder="1"/>
    <x:xf numFmtId="0" fontId="10" fillId="8" borderId="10" xfId="0" applyNumberFormat="1" applyFont="1" applyFill="1" applyBorder="1"/>
    <x:xf numFmtId="0" fontId="10" fillId="8" borderId="6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/>
    </x:xf>
    <x:xf numFmtId="0" fontId="10" fillId="8" borderId="9" xfId="0" applyNumberFormat="1" applyFont="1" applyFill="1" applyBorder="1" applyAlignment="1">
      <x:alignment horizontal="center"/>
    </x:xf>
    <x:xf numFmtId="0" fontId="10" fillId="8" borderId="10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10" fillId="8" borderId="9" xfId="0" applyNumberFormat="1" applyFont="1" applyFill="1" applyBorder="1" applyAlignment="1">
      <x:alignment horizontal="center" vertical="center"/>
    </x:xf>
    <x:xf numFmtId="0" fontId="10" fillId="8" borderId="1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10" fillId="8" borderId="11" xfId="0" applyNumberFormat="1" applyFont="1" applyFill="1" applyBorder="1"/>
    <x:xf numFmtId="0" fontId="10" fillId="8" borderId="12" xfId="0" applyNumberFormat="1" applyFont="1" applyFill="1" applyBorder="1"/>
    <x:xf numFmtId="0" fontId="10" fillId="8" borderId="13" xfId="0" applyNumberFormat="1" applyFont="1" applyFill="1" applyBorder="1"/>
    <x:xf numFmtId="0" fontId="10" fillId="8" borderId="14" xfId="0" applyNumberFormat="1" applyFont="1" applyFill="1" applyBorder="1"/>
    <x:xf numFmtId="0" fontId="10" fillId="8" borderId="15" xfId="0" applyNumberFormat="1" applyFont="1" applyFill="1" applyBorder="1"/>
    <x:xf numFmtId="0" fontId="10" fillId="8" borderId="11" xfId="0" applyNumberFormat="1" applyFont="1" applyFill="1" applyBorder="1" applyAlignment="1">
      <x:alignment horizontal="center"/>
    </x:xf>
    <x:xf numFmtId="0" fontId="10" fillId="8" borderId="1" xfId="0" applyNumberFormat="1" applyFont="1" applyFill="1" applyBorder="1" applyAlignment="1">
      <x:alignment horizontal="center"/>
    </x:xf>
    <x:xf numFmtId="0" fontId="10" fillId="8" borderId="12" xfId="0" applyNumberFormat="1" applyFont="1" applyFill="1" applyBorder="1" applyAlignment="1">
      <x:alignment horizontal="center"/>
    </x:xf>
    <x:xf numFmtId="0" fontId="10" fillId="8" borderId="13" xfId="0" applyNumberFormat="1" applyFont="1" applyFill="1" applyBorder="1" applyAlignment="1">
      <x:alignment horizontal="center"/>
    </x:xf>
    <x:xf numFmtId="0" fontId="10" fillId="8" borderId="14" xfId="0" applyNumberFormat="1" applyFont="1" applyFill="1" applyBorder="1" applyAlignment="1">
      <x:alignment horizontal="center"/>
    </x:xf>
    <x:xf numFmtId="0" fontId="10" fillId="8" borderId="15" xfId="0" applyNumberFormat="1" applyFont="1" applyFill="1" applyBorder="1" applyAlignment="1">
      <x:alignment horizontal="center"/>
    </x:xf>
    <x:xf numFmtId="0" fontId="10" fillId="8" borderId="11" xfId="0" applyNumberFormat="1" applyFont="1" applyFill="1" applyBorder="1" applyAlignment="1">
      <x:alignment horizontal="center" vertical="center"/>
    </x:xf>
    <x:xf numFmtId="0" fontId="10" fillId="8" borderId="1" xfId="0" applyNumberFormat="1" applyFont="1" applyFill="1" applyBorder="1" applyAlignment="1">
      <x:alignment horizontal="center" vertical="center"/>
    </x:xf>
    <x:xf numFmtId="0" fontId="10" fillId="8" borderId="12" xfId="0" applyNumberFormat="1" applyFont="1" applyFill="1" applyBorder="1" applyAlignment="1">
      <x:alignment horizontal="center" vertical="center"/>
    </x:xf>
    <x:xf numFmtId="0" fontId="10" fillId="8" borderId="13" xfId="0" applyNumberFormat="1" applyFont="1" applyFill="1" applyBorder="1" applyAlignment="1">
      <x:alignment horizontal="center" vertical="center"/>
    </x:xf>
    <x:xf numFmtId="0" fontId="10" fillId="8" borderId="14" xfId="0" applyNumberFormat="1" applyFont="1" applyFill="1" applyBorder="1" applyAlignment="1">
      <x:alignment horizontal="center" vertical="center"/>
    </x:xf>
    <x:xf numFmtId="0" fontId="10" fillId="8" borderId="15" xfId="0" applyNumberFormat="1" applyFont="1" applyFill="1" applyBorder="1" applyAlignment="1">
      <x:alignment horizontal="center" vertical="center"/>
    </x:xf>
    <x:xf numFmtId="200" fontId="10" fillId="8" borderId="6" xfId="0" applyNumberFormat="1" applyFont="1" applyFill="1" applyBorder="1" applyAlignment="1">
      <x:alignment horizontal="center" vertical="center"/>
    </x:xf>
    <x:xf numFmtId="200" fontId="10" fillId="8" borderId="11" xfId="0" applyNumberFormat="1" applyFont="1" applyFill="1" applyBorder="1" applyAlignment="1">
      <x:alignment horizontal="center" vertical="center"/>
    </x:xf>
    <x:xf numFmtId="201" fontId="10" fillId="8" borderId="6" xfId="0" applyNumberFormat="1" applyFont="1" applyFill="1" applyBorder="1" applyAlignment="1">
      <x:alignment horizontal="center" vertical="center"/>
    </x:xf>
    <x:xf numFmtId="201" fontId="10" fillId="8" borderId="11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0" fontId="11" fillId="8" borderId="9" xfId="0" applyNumberFormat="1" applyFont="1" applyFill="1" applyBorder="1"/>
    <x:xf numFmtId="0" fontId="11" fillId="8" borderId="10" xfId="0" applyNumberFormat="1" applyFont="1" applyFill="1" applyBorder="1"/>
    <x:xf numFmtId="0" fontId="11" fillId="8" borderId="6" xfId="0" applyNumberFormat="1" applyFont="1" applyFill="1" applyBorder="1" applyAlignment="1">
      <x:alignment horizontal="center"/>
    </x:xf>
    <x:xf numFmtId="0" fontId="11" fillId="8" borderId="0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11" fillId="8" borderId="9" xfId="0" applyNumberFormat="1" applyFont="1" applyFill="1" applyBorder="1" applyAlignment="1">
      <x:alignment horizontal="center"/>
    </x:xf>
    <x:xf numFmtId="0" fontId="11" fillId="8" borderId="10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11" fillId="8" borderId="9" xfId="0" applyNumberFormat="1" applyFont="1" applyFill="1" applyBorder="1" applyAlignment="1">
      <x:alignment horizontal="center" vertical="center"/>
    </x:xf>
    <x:xf numFmtId="0" fontId="11" fillId="8" borderId="10" xfId="0" applyNumberFormat="1" applyFont="1" applyFill="1" applyBorder="1" applyAlignment="1">
      <x:alignment horizontal="center" vertical="center"/>
    </x:xf>
    <x:xf numFmtId="0" fontId="11" fillId="8" borderId="1" xfId="0" applyNumberFormat="1" applyFont="1" applyFill="1" applyBorder="1"/>
    <x:xf numFmtId="0" fontId="11" fillId="8" borderId="11" xfId="0" applyNumberFormat="1" applyFont="1" applyFill="1" applyBorder="1"/>
    <x:xf numFmtId="0" fontId="11" fillId="8" borderId="12" xfId="0" applyNumberFormat="1" applyFont="1" applyFill="1" applyBorder="1"/>
    <x:xf numFmtId="0" fontId="11" fillId="8" borderId="13" xfId="0" applyNumberFormat="1" applyFont="1" applyFill="1" applyBorder="1"/>
    <x:xf numFmtId="0" fontId="11" fillId="8" borderId="14" xfId="0" applyNumberFormat="1" applyFont="1" applyFill="1" applyBorder="1"/>
    <x:xf numFmtId="0" fontId="11" fillId="8" borderId="15" xfId="0" applyNumberFormat="1" applyFont="1" applyFill="1" applyBorder="1"/>
    <x:xf numFmtId="0" fontId="11" fillId="8" borderId="11" xfId="0" applyNumberFormat="1" applyFont="1" applyFill="1" applyBorder="1" applyAlignment="1">
      <x:alignment horizontal="center"/>
    </x:xf>
    <x:xf numFmtId="0" fontId="11" fillId="8" borderId="1" xfId="0" applyNumberFormat="1" applyFont="1" applyFill="1" applyBorder="1" applyAlignment="1">
      <x:alignment horizontal="center"/>
    </x:xf>
    <x:xf numFmtId="0" fontId="11" fillId="8" borderId="12" xfId="0" applyNumberFormat="1" applyFont="1" applyFill="1" applyBorder="1" applyAlignment="1">
      <x:alignment horizontal="center"/>
    </x:xf>
    <x:xf numFmtId="0" fontId="11" fillId="8" borderId="13" xfId="0" applyNumberFormat="1" applyFont="1" applyFill="1" applyBorder="1" applyAlignment="1">
      <x:alignment horizontal="center"/>
    </x:xf>
    <x:xf numFmtId="0" fontId="11" fillId="8" borderId="14" xfId="0" applyNumberFormat="1" applyFont="1" applyFill="1" applyBorder="1" applyAlignment="1">
      <x:alignment horizontal="center"/>
    </x:xf>
    <x:xf numFmtId="0" fontId="11" fillId="8" borderId="15" xfId="0" applyNumberFormat="1" applyFont="1" applyFill="1" applyBorder="1" applyAlignment="1">
      <x:alignment horizontal="center"/>
    </x:xf>
    <x:xf numFmtId="0" fontId="11" fillId="8" borderId="11" xfId="0" applyNumberFormat="1" applyFont="1" applyFill="1" applyBorder="1" applyAlignment="1">
      <x:alignment horizontal="center" vertical="center"/>
    </x:xf>
    <x:xf numFmtId="0" fontId="11" fillId="8" borderId="1" xfId="0" applyNumberFormat="1" applyFont="1" applyFill="1" applyBorder="1" applyAlignment="1">
      <x:alignment horizontal="center" vertical="center"/>
    </x:xf>
    <x:xf numFmtId="0" fontId="11" fillId="8" borderId="12" xfId="0" applyNumberFormat="1" applyFont="1" applyFill="1" applyBorder="1" applyAlignment="1">
      <x:alignment horizontal="center" vertical="center"/>
    </x:xf>
    <x:xf numFmtId="0" fontId="11" fillId="8" borderId="13" xfId="0" applyNumberFormat="1" applyFont="1" applyFill="1" applyBorder="1" applyAlignment="1">
      <x:alignment horizontal="center" vertical="center"/>
    </x:xf>
    <x:xf numFmtId="0" fontId="11" fillId="8" borderId="14" xfId="0" applyNumberFormat="1" applyFont="1" applyFill="1" applyBorder="1" applyAlignment="1">
      <x:alignment horizontal="center" vertical="center"/>
    </x:xf>
    <x:xf numFmtId="0" fontId="11" fillId="8" borderId="15" xfId="0" applyNumberFormat="1" applyFont="1" applyFill="1" applyBorder="1" applyAlignment="1">
      <x:alignment horizontal="center" vertical="center"/>
    </x:xf>
    <x:xf numFmtId="202" fontId="10" fillId="8" borderId="6" xfId="0" applyNumberFormat="1" applyFont="1" applyFill="1" applyBorder="1" applyAlignment="1">
      <x:alignment horizontal="center" vertical="center"/>
    </x:xf>
    <x:xf numFmtId="202" fontId="10" fillId="8" borderId="11" xfId="0" applyNumberFormat="1" applyFont="1" applyFill="1" applyBorder="1" applyAlignment="1">
      <x:alignment horizontal="center" vertical="center"/>
    </x:xf>
    <x:xf numFmtId="204" fontId="10" fillId="8" borderId="6" xfId="0" applyNumberFormat="1" applyFont="1" applyFill="1" applyBorder="1" applyAlignment="1">
      <x:alignment horizontal="center" vertical="center"/>
    </x:xf>
    <x:xf numFmtId="204" fontId="10" fillId="8" borderId="11" xfId="0" applyNumberFormat="1" applyFont="1" applyFill="1" applyBorder="1" applyAlignment="1">
      <x:alignment horizontal="center" vertical="center"/>
    </x:xf>
    <x:xf numFmtId="200" fontId="8" fillId="7" borderId="0" xfId="0" applyNumberFormat="1" applyFont="1" applyFill="1" applyBorder="1"/>
    <x:xf numFmtId="200" fontId="8" fillId="7" borderId="1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d8f4c36c9c4193" /><Relationship Type="http://schemas.openxmlformats.org/officeDocument/2006/relationships/theme" Target="/xl/theme/theme1.xml" Id="R9fe2f6d5f83a4f2b" /><Relationship Type="http://schemas.openxmlformats.org/officeDocument/2006/relationships/sharedStrings" Target="/xl/sharedStrings.xml" Id="R6163f41758f44e30" /><Relationship Type="http://schemas.openxmlformats.org/officeDocument/2006/relationships/worksheet" Target="/xl/worksheets/sheet1.xml" Id="R84ad7343c51946d4" /><Relationship Type="http://schemas.openxmlformats.org/officeDocument/2006/relationships/worksheet" Target="/xl/worksheets/sheet2.xml" Id="Rb305334bf7214936" /><Relationship Type="http://schemas.openxmlformats.org/officeDocument/2006/relationships/worksheet" Target="/xl/worksheets/sheet3.xml" Id="R6f593a2c2d2e4e52" /><Relationship Type="http://schemas.openxmlformats.org/officeDocument/2006/relationships/worksheet" Target="/xl/worksheets/sheet4.xml" Id="Rfcf7b7c562864a05" /><Relationship Type="http://schemas.openxmlformats.org/officeDocument/2006/relationships/worksheet" Target="/xl/worksheets/sheet5.xml" Id="R555b1dbeb1904ab8" /><Relationship Type="http://schemas.openxmlformats.org/officeDocument/2006/relationships/worksheet" Target="/xl/worksheets/sheet6.xml" Id="Rba9f7d6586d34069" /><Relationship Type="http://schemas.openxmlformats.org/officeDocument/2006/relationships/worksheet" Target="/xl/worksheets/sheet7.xml" Id="Rcb6a687c62874354" /><Relationship Type="http://schemas.openxmlformats.org/officeDocument/2006/relationships/worksheet" Target="/xl/worksheets/sheet8.xml" Id="R3840a663c37a4662" /><Relationship Type="http://schemas.openxmlformats.org/officeDocument/2006/relationships/worksheet" Target="/xl/worksheets/sheet9.xml" Id="R941292a9abe5457d" /><Relationship Type="http://schemas.openxmlformats.org/officeDocument/2006/relationships/worksheet" Target="/xl/worksheets/sheet10.xml" Id="Rc48bd3d349714186" /><Relationship Type="http://schemas.openxmlformats.org/officeDocument/2006/relationships/worksheet" Target="/xl/worksheets/sheet11.xml" Id="R0f8b7a665d3e4b32" /><Relationship Type="http://schemas.openxmlformats.org/officeDocument/2006/relationships/worksheet" Target="/xl/worksheets/sheet12.xml" Id="Rdeedeb398d7241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de2231f79d4556" /><Relationship Type="http://schemas.openxmlformats.org/officeDocument/2006/relationships/chart" Target="/xl/drawings/charts/chart2.xml" Id="R1e293cd6f4f143a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Adjusted EBITDA</c:v>
          </c:tx>
          <c:cat>
            <c:strRef>
              <c:f>'Dashboard'!$P$17:$Y$17</c:f>
              <c:strCache>
                <c:ptCount val="0"/>
              </c:strCache>
            </c:strRef>
          </c:cat>
          <c:val>
            <c:numRef>
              <c:f>'Dashboard'!$P$18:$Y$18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Equity FCF</c:v>
          </c:tx>
          <c:cat>
            <c:strRef>
              <c:f>'Dashboard'!$P$17:$Y$17</c:f>
              <c:strCache>
                <c:ptCount val="0"/>
              </c:strCache>
            </c:strRef>
          </c:cat>
          <c:val>
            <c:numRef>
              <c:f>'Dashboard'!$P$19:$Y$19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Shale oil</c:v>
          </c:tx>
          <c:cat>
            <c:strRef>
              <c:f>'Dashboard'!$P$22:$Y$22</c:f>
              <c:strCache>
                <c:ptCount val="0"/>
              </c:strCache>
            </c:strRef>
          </c:cat>
          <c:val>
            <c:numRef>
              <c:f>'Dashboard'!$P$23:$Y$23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de2231f79d4556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293cd6f4f143a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80a7f4ae0b3a44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2" hidden="0" customWidth="1"/>
    <x:col min="3" max="3" width="18" hidden="0" customWidth="1"/>
    <x:col min="4" max="4" width="58" hidden="0" customWidth="1"/>
    <x:col min="5" max="5" width="68" hidden="0" customWidth="1"/>
    <x:col min="6" max="6" width="12" hidden="0" customWidth="1"/>
  </x:cols>
  <x:sheetData>
    <x:row r="1" ht="28" customHeight="1">
      <x:c r="A1" s="4" t="str">
        <x:v>YPF Full Valuation Model — Source Register</x:v>
      </x:c>
      <x:c r="B1" s="4"/>
      <x:c r="C1" s="4"/>
      <x:c r="D1" s="4"/>
      <x:c r="E1" s="4"/>
      <x:c r="F1" s="4"/>
    </x:row>
    <x:row r="2" ht="30" customHeight="1">
      <x:c r="A2" s="10" t="str">
        <x:v>Model date: 7 Aug 2026. Q1 2026 is the latest reported quarter; Q2 2026 earnings webcast is scheduled for 11 Aug 2026.</x:v>
      </x:c>
      <x:c r="B2" s="10"/>
      <x:c r="C2" s="10"/>
      <x:c r="D2" s="10"/>
      <x:c r="E2" s="10"/>
      <x:c r="F2" s="10"/>
    </x:row>
    <x:row r="4">
      <x:c r="A4" s="19" t="str">
        <x:v>ID</x:v>
      </x:c>
      <x:c r="B4" s="19" t="str">
        <x:v>Source / date</x:v>
      </x:c>
      <x:c r="C4" s="19" t="str">
        <x:v>Type</x:v>
      </x:c>
      <x:c r="D4" s="19" t="str">
        <x:v>Key facts used</x:v>
      </x:c>
      <x:c r="E4" s="19" t="str">
        <x:v>URL</x:v>
      </x:c>
      <x:c r="F4" s="19" t="str">
        <x:v>Quality</x:v>
      </x:c>
    </x:row>
    <x:row r="5">
      <x:c r="A5" s="26" t="str">
        <x:v>S1</x:v>
      </x:c>
      <x:c r="B5" s="26" t="str">
        <x:v>YPF Q1 2026 Form 6-K — May 2026</x:v>
      </x:c>
      <x:c r="C5" s="26" t="str">
        <x:v>SEC / company</x:v>
      </x:c>
      <x:c r="D5" s="26" t="str">
        <x:v>Q1 revenue $4.946B, EBITDA $1.594B, FCF $0.871B, production/prices/lifting costs, segment EBITDA, capex, debt, VMOS progress</x:v>
      </x:c>
      <x:c r="E5" s="26" t="str">
        <x:v>https://www.sec.gov/Archives/edgar/data/904851/000155485526000937/MainDocument.htm</x:v>
      </x:c>
      <x:c r="F5" s="26" t="str">
        <x:v>Primary</x:v>
      </x:c>
    </x:row>
    <x:row r="6">
      <x:c r="A6" s="26" t="str">
        <x:v>S2</x:v>
      </x:c>
      <x:c r="B6" s="26" t="str">
        <x:v>YPF Investor Center — Aug 7 2026</x:v>
      </x:c>
      <x:c r="C6" s="26" t="str">
        <x:v>Company IR</x:v>
      </x:c>
      <x:c r="D6" s="26" t="str">
        <x:v>Q1 key figures; Aug 4 local 1-for-10 split; ADR equivalents remain 393.3M; Q2 webcast Aug 11; delayed YPF quote</x:v>
      </x:c>
      <x:c r="E6" s="26" t="str">
        <x:v>https://investors.ypf.com/</x:v>
      </x:c>
      <x:c r="F6" s="26" t="str">
        <x:v>Primary</x:v>
      </x:c>
    </x:row>
    <x:row r="7">
      <x:c r="A7" s="26" t="str">
        <x:v>S3</x:v>
      </x:c>
      <x:c r="B7" s="26" t="str">
        <x:v>YPF 2025 Form 20-F</x:v>
      </x:c>
      <x:c r="C7" s="26" t="str">
        <x:v>SEC filing</x:v>
      </x:c>
      <x:c r="D7" s="26" t="str">
        <x:v>2025 proved reserves 1,284 Mboe; reserve replacement 198%; PUD 642 Mboe</x:v>
      </x:c>
      <x:c r="E7" s="26" t="str">
        <x:v>https://www.sec.gov/Archives/edgar/data/904851/000119312526126363/d95578d20f.htm</x:v>
      </x:c>
      <x:c r="F7" s="26" t="str">
        <x:v>Primary</x:v>
      </x:c>
    </x:row>
    <x:row r="8">
      <x:c r="A8" s="26" t="str">
        <x:v>S4</x:v>
      </x:c>
      <x:c r="B8" s="26" t="str">
        <x:v>YPF 2026 EBITDA / CAPEX guidance — Feb 27 2026</x:v>
      </x:c>
      <x:c r="C8" s="26" t="str">
        <x:v>Reuters</x:v>
      </x:c>
      <x:c r="D8" s="26" t="str">
        <x:v>2026 EBITDA $5.8-$6.2B; capex $5.5-$5.8B; 70% unconventional; 2026 shale oil ~215 kbbl/d</x:v>
      </x:c>
      <x:c r="E8" s="26" t="str">
        <x:v>https://www.reuters.com/business/energy/ypf-projects-ebitda-between-58-billion-62-billion-2026-says-ceo-2026-02-27/</x:v>
      </x:c>
      <x:c r="F8" s="26" t="str">
        <x:v>High</x:v>
      </x:c>
    </x:row>
    <x:row r="9">
      <x:c r="A9" s="26" t="str">
        <x:v>S5</x:v>
      </x:c>
      <x:c r="B9" s="26" t="str">
        <x:v>YPF IR Day 2025 presentation</x:v>
      </x:c>
      <x:c r="C9" s="26" t="str">
        <x:v>Company IR</x:v>
      </x:c>
      <x:c r="D9" s="26" t="str">
        <x:v>Shale oil trajectory through 2030; Brent 70 base EBITDA/capex/FCF plan; Brent 50/60/70/80 sensitivity; LNG plan framework</x:v>
      </x:c>
      <x:c r="E9" s="26" t="str">
        <x:v>https://investors.ypf.com/</x:v>
      </x:c>
      <x:c r="F9" s="26" t="str">
        <x:v>Primary</x:v>
      </x:c>
    </x:row>
    <x:row r="10">
      <x:c r="A10" s="26" t="str">
        <x:v>S6</x:v>
      </x:c>
      <x:c r="B10" s="26" t="str">
        <x:v>Argentina LNG — Eni/XRG entry — Jun 29 2026</x:v>
      </x:c>
      <x:c r="C10" s="26" t="str">
        <x:v>Company / project</x:v>
      </x:c>
      <x:c r="D10" s="26" t="str">
        <x:v>Eni and XRG each acquire 32% of dedicated upstream company; YPF retains 36%; integrated LNG project</x:v>
      </x:c>
      <x:c r="E10" s="26" t="str">
        <x:v>https://argentina-lng.ypf.com/assets/pdf/EN-Firma-SPA-Eni-XRG.pdf</x:v>
      </x:c>
      <x:c r="F10" s="26" t="str">
        <x:v>Primary</x:v>
      </x:c>
    </x:row>
    <x:row r="11">
      <x:c r="A11" s="26" t="str">
        <x:v>S7</x:v>
      </x:c>
      <x:c r="B11" s="26" t="str">
        <x:v>Argentina LNG project site — Jun 2026</x:v>
      </x:c>
      <x:c r="C11" s="26" t="str">
        <x:v>Company / project</x:v>
      </x:c>
      <x:c r="D11" s="26" t="str">
        <x:v>2+1 FLNG units; up to 18 mtpa initial capacity and potential scale to 24 mtpa</x:v>
      </x:c>
      <x:c r="E11" s="26" t="str">
        <x:v>https://argentina-lng.ypf.com/index-en.html</x:v>
      </x:c>
      <x:c r="F11" s="26" t="str">
        <x:v>Primary</x:v>
      </x:c>
    </x:row>
    <x:row r="12">
      <x:c r="A12" s="26" t="str">
        <x:v>S8</x:v>
      </x:c>
      <x:c r="B12" s="26" t="str">
        <x:v>Vista Energy valuation statistics — Jul 28 2026</x:v>
      </x:c>
      <x:c r="C12" s="26" t="str">
        <x:v>StockAnalysis</x:v>
      </x:c>
      <x:c r="D12" s="26" t="str">
        <x:v>VIST EV $10.71B; TTM revenue $3.525B; EBITDA margin ~69%; Vaca Muerta pure-play reference</x:v>
      </x:c>
      <x:c r="E12" s="26" t="str">
        <x:v>https://stockanalysis.com/stocks/vist/statistics/</x:v>
      </x:c>
      <x:c r="F12" s="26" t="str">
        <x:v>Secondary</x:v>
      </x:c>
    </x:row>
    <x:row r="13">
      <x:c r="A13" s="26" t="str">
        <x:v>S9</x:v>
      </x:c>
      <x:c r="B13" s="26" t="str">
        <x:v>YPF MarketWatch analyst estimates — Aug 7 2026</x:v>
      </x:c>
      <x:c r="C13" s="26" t="str">
        <x:v>Market data</x:v>
      </x:c>
      <x:c r="D13" s="26" t="str">
        <x:v>Analyst target avg $59.68; median $60; range $48-$78; current-year EPS estimate $6.37</x:v>
      </x:c>
      <x:c r="E13" s="26" t="str">
        <x:v>https://www.marketwatch.com/investing/stock/ypf/analystestimates</x:v>
      </x:c>
      <x:c r="F13" s="26" t="str">
        <x:v>Secondary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3" hidden="0" customWidth="1"/>
  </x:cols>
  <x:sheetData>
    <x:row r="1" ht="28" customHeight="1">
      <x:c r="A1" s="4" t="str">
        <x:v>Historical Financials &amp; Q1 2026 Snapshot</x:v>
      </x:c>
      <x:c r="B1" s="4"/>
      <x:c r="C1" s="4"/>
      <x:c r="D1" s="4"/>
      <x:c r="E1" s="4"/>
      <x:c r="F1" s="4"/>
      <x:c r="G1" s="4"/>
    </x:row>
    <x:row r="2" ht="30" customHeight="1">
      <x:c r="A2" s="10" t="str">
        <x:v>USD $bn unless otherwise stated. Q1 FCF includes roughly $0.5B of strategic M&amp;A proceeds, so it should not be annualized as recurring operating FCF.</x:v>
      </x:c>
      <x:c r="B2" s="10"/>
      <x:c r="C2" s="10"/>
      <x:c r="D2" s="10"/>
      <x:c r="E2" s="10"/>
      <x:c r="F2" s="10"/>
      <x:c r="G2" s="10"/>
    </x:row>
    <x:row r="4">
      <x:c r="A4" s="19" t="str">
        <x:v>Metric</x:v>
      </x:c>
      <x:c r="B4" s="19" t="str">
        <x:v>2024A</x:v>
      </x:c>
      <x:c r="C4" s="19" t="str">
        <x:v>2025A</x:v>
      </x:c>
      <x:c r="D4" s="19" t="str">
        <x:v>Q1 2026A</x:v>
      </x:c>
      <x:c r="E4" s="19" t="str">
        <x:v>2026 guide / target</x:v>
      </x:c>
      <x:c r="F4" s="19" t="str">
        <x:v>Latest / reference</x:v>
      </x:c>
      <x:c r="G4" s="19" t="str">
        <x:v>Source</x:v>
      </x:c>
    </x:row>
    <x:row r="5">
      <x:c r="A5" t="str">
        <x:v>Revenue ($bn)</x:v>
      </x:c>
      <x:c r="B5" s="32"/>
      <x:c r="C5" s="32" t="n">
        <x:v>18.4</x:v>
      </x:c>
      <x:c r="D5" s="32" t="n">
        <x:v>4.946</x:v>
      </x:c>
      <x:c r="E5" s="32"/>
      <x:c r="F5" s="32"/>
      <x:c r="G5" s="30" t="str">
        <x:v>S1/S5</x:v>
      </x:c>
    </x:row>
    <x:row r="6">
      <x:c r="A6" t="str">
        <x:v>Adjusted EBITDA ($bn)</x:v>
      </x:c>
      <x:c r="B6" s="32"/>
      <x:c r="C6" s="32" t="n">
        <x:v>5</x:v>
      </x:c>
      <x:c r="D6" s="32" t="n">
        <x:v>1.594</x:v>
      </x:c>
      <x:c r="E6" s="32" t="n">
        <x:v>6</x:v>
      </x:c>
      <x:c r="F6" s="32"/>
      <x:c r="G6" s="30" t="str">
        <x:v>S1/S4/S5</x:v>
      </x:c>
    </x:row>
    <x:row r="7">
      <x:c r="A7" t="str">
        <x:v>Adjusted EBITDA margin</x:v>
      </x:c>
      <x:c r="B7" s="34"/>
      <x:c r="C7" s="34" t="n">
        <x:v>0.272</x:v>
      </x:c>
      <x:c r="D7" s="34" t="n">
        <x:v>0.322</x:v>
      </x:c>
      <x:c r="E7" s="34"/>
      <x:c r="F7" s="34"/>
      <x:c r="G7" s="30" t="str">
        <x:v>S1/S5</x:v>
      </x:c>
    </x:row>
    <x:row r="8">
      <x:c r="A8" t="str">
        <x:v>CAPEX ($bn)</x:v>
      </x:c>
      <x:c r="B8" s="32"/>
      <x:c r="C8" s="32" t="n">
        <x:v>4.5</x:v>
      </x:c>
      <x:c r="D8" s="32" t="n">
        <x:v>0.98</x:v>
      </x:c>
      <x:c r="E8" s="32" t="n">
        <x:v>5.65</x:v>
      </x:c>
      <x:c r="F8" s="32"/>
      <x:c r="G8" s="30" t="str">
        <x:v>S1/S4/S5</x:v>
      </x:c>
    </x:row>
    <x:row r="9">
      <x:c r="A9" t="str">
        <x:v>Free cash flow ($bn)</x:v>
      </x:c>
      <x:c r="B9" s="32"/>
      <x:c r="C9" s="32"/>
      <x:c r="D9" s="32" t="n">
        <x:v>0.871</x:v>
      </x:c>
      <x:c r="E9" s="32" t="n">
        <x:v>0.5</x:v>
      </x:c>
      <x:c r="F9" s="32"/>
      <x:c r="G9" s="30" t="str">
        <x:v>S1/S5</x:v>
      </x:c>
    </x:row>
    <x:row r="10">
      <x:c r="A10" t="str">
        <x:v>Net debt ($bn)</x:v>
      </x:c>
      <x:c r="B10" s="32"/>
      <x:c r="C10" s="32" t="n">
        <x:v>9.4</x:v>
      </x:c>
      <x:c r="D10" s="32" t="n">
        <x:v>8.425</x:v>
      </x:c>
      <x:c r="E10" s="32"/>
      <x:c r="F10" s="32"/>
      <x:c r="G10" s="30" t="str">
        <x:v>S1/S5</x:v>
      </x:c>
    </x:row>
    <x:row r="11">
      <x:c r="A11" t="str">
        <x:v>Net leverage</x:v>
      </x:c>
      <x:c r="B11" s="36"/>
      <x:c r="C11" s="36" t="n">
        <x:v>1.9</x:v>
      </x:c>
      <x:c r="D11" s="36" t="n">
        <x:v>1.57</x:v>
      </x:c>
      <x:c r="E11" s="36" t="n">
        <x:v>1.3</x:v>
      </x:c>
      <x:c r="F11" s="36"/>
      <x:c r="G11" s="30" t="str">
        <x:v>S1/S5</x:v>
      </x:c>
    </x:row>
    <x:row r="12">
      <x:c r="A12" t="str">
        <x:v>Total production (kboe/d)</x:v>
      </x:c>
      <x:c r="B12" s="38"/>
      <x:c r="C12" s="38" t="n">
        <x:v>545</x:v>
      </x:c>
      <x:c r="D12" s="38" t="n">
        <x:v>525</x:v>
      </x:c>
      <x:c r="E12" s="38"/>
      <x:c r="F12" s="38"/>
      <x:c r="G12" s="30" t="str">
        <x:v>S1/S5</x:v>
      </x:c>
    </x:row>
    <x:row r="13">
      <x:c r="A13" t="str">
        <x:v>Crude oil production (kbbl/d)</x:v>
      </x:c>
      <x:c r="B13" s="40"/>
      <x:c r="C13" s="40"/>
      <x:c r="D13" s="40" t="n">
        <x:v>271</x:v>
      </x:c>
      <x:c r="E13" s="40"/>
      <x:c r="F13" s="40"/>
      <x:c r="G13" s="30" t="str">
        <x:v>S1</x:v>
      </x:c>
    </x:row>
    <x:row r="14">
      <x:c r="A14" t="str">
        <x:v>Shale oil production (kbbl/d)</x:v>
      </x:c>
      <x:c r="B14" s="40" t="n">
        <x:v>165</x:v>
      </x:c>
      <x:c r="C14" s="40" t="n">
        <x:v>165</x:v>
      </x:c>
      <x:c r="D14" s="40" t="n">
        <x:v>205.4</x:v>
      </x:c>
      <x:c r="E14" s="40" t="n">
        <x:v>215</x:v>
      </x:c>
      <x:c r="F14" s="40" t="n">
        <x:v>250</x:v>
      </x:c>
      <x:c r="G14" s="30" t="str">
        <x:v>S1/S4/S5</x:v>
      </x:c>
    </x:row>
    <x:row r="15">
      <x:c r="A15" t="str">
        <x:v>Natural gas (MMm3/d)</x:v>
      </x:c>
      <x:c r="B15" s="40"/>
      <x:c r="C15" s="40"/>
      <x:c r="D15" s="40" t="n">
        <x:v>32.8</x:v>
      </x:c>
      <x:c r="E15" s="40"/>
      <x:c r="F15" s="40"/>
      <x:c r="G15" s="30" t="str">
        <x:v>S1</x:v>
      </x:c>
    </x:row>
    <x:row r="16">
      <x:c r="A16" t="str">
        <x:v>Q1 crude realized price ($/bbl)</x:v>
      </x:c>
      <x:c r="B16" s="40"/>
      <x:c r="C16" s="40"/>
      <x:c r="D16" s="40" t="n">
        <x:v>68.4</x:v>
      </x:c>
      <x:c r="E16" s="40"/>
      <x:c r="F16" s="40"/>
      <x:c r="G16" s="30" t="str">
        <x:v>S1</x:v>
      </x:c>
    </x:row>
    <x:row r="17">
      <x:c r="A17" t="str">
        <x:v>Q1 gas realized price ($/MMBtu)</x:v>
      </x:c>
      <x:c r="B17" s="32"/>
      <x:c r="C17" s="32"/>
      <x:c r="D17" s="32" t="n">
        <x:v>2.9</x:v>
      </x:c>
      <x:c r="E17" s="32"/>
      <x:c r="F17" s="32"/>
      <x:c r="G17" s="30" t="str">
        <x:v>S1</x:v>
      </x:c>
    </x:row>
    <x:row r="18">
      <x:c r="A18" t="str">
        <x:v>Total lifting cost ($/boe)</x:v>
      </x:c>
      <x:c r="B18" s="32"/>
      <x:c r="C18" s="32" t="n">
        <x:v>11.6</x:v>
      </x:c>
      <x:c r="D18" s="32" t="n">
        <x:v>8.8</x:v>
      </x:c>
      <x:c r="E18" s="32"/>
      <x:c r="F18" s="32"/>
      <x:c r="G18" s="30" t="str">
        <x:v>S1/S5</x:v>
      </x:c>
    </x:row>
    <x:row r="19">
      <x:c r="A19" t="str">
        <x:v>Shale oil hub lifting cost ($/boe)</x:v>
      </x:c>
      <x:c r="B19" s="36"/>
      <x:c r="C19" s="36" t="n">
        <x:v>4.4</x:v>
      </x:c>
      <x:c r="D19" s="36" t="n">
        <x:v>4</x:v>
      </x:c>
      <x:c r="E19" s="36"/>
      <x:c r="F19" s="36"/>
      <x:c r="G19" s="30" t="str">
        <x:v>S1/S5</x:v>
      </x:c>
    </x:row>
    <x:row r="20">
      <x:c r="A20" t="str">
        <x:v>M&amp;D adjusted EBITDA ($bn)</x:v>
      </x:c>
      <x:c r="B20" s="34"/>
      <x:c r="C20" s="34"/>
      <x:c r="D20" s="34" t="n">
        <x:v>0.598</x:v>
      </x:c>
      <x:c r="E20" s="34"/>
      <x:c r="F20" s="34"/>
      <x:c r="G20" s="30" t="str">
        <x:v>S1</x:v>
      </x:c>
    </x:row>
    <x:row r="21">
      <x:c r="A21" t="str">
        <x:v>Upstream adjusted EBITDA ($bn)</x:v>
      </x:c>
      <x:c r="B21" s="36"/>
      <x:c r="C21" s="36"/>
      <x:c r="D21" s="36" t="n">
        <x:v>1.148</x:v>
      </x:c>
      <x:c r="E21" s="36"/>
      <x:c r="F21" s="36"/>
      <x:c r="G21" s="30" t="str">
        <x:v>S1</x:v>
      </x:c>
    </x:row>
    <x:row r="22">
      <x:c r="A22" t="str">
        <x:v>Crude processed (kbbl/d)</x:v>
      </x:c>
      <x:c r="B22" s="34"/>
      <x:c r="C22" s="34"/>
      <x:c r="D22" s="34" t="n">
        <x:v>344.3</x:v>
      </x:c>
      <x:c r="E22" s="34"/>
      <x:c r="F22" s="34"/>
      <x:c r="G22" s="30" t="str">
        <x:v>S1</x:v>
      </x:c>
    </x:row>
    <x:row r="23">
      <x:c r="A23" t="str">
        <x:v>Refinery utilization</x:v>
      </x:c>
      <x:c r="B23" s="32"/>
      <x:c r="C23" s="32"/>
      <x:c r="D23" s="32" t="n">
        <x:v>1.019</x:v>
      </x:c>
      <x:c r="E23" s="32"/>
      <x:c r="F23" s="32"/>
      <x:c r="G23" s="30" t="str">
        <x:v>S1</x:v>
      </x:c>
    </x:row>
    <x:row r="24">
      <x:c r="A24" t="str">
        <x:v>Proved reserves (Mboe)</x:v>
      </x:c>
      <x:c r="B24" s="32" t="n">
        <x:v>1096</x:v>
      </x:c>
      <x:c r="C24" s="32" t="n">
        <x:v>1284</x:v>
      </x:c>
      <x:c r="D24" s="32"/>
      <x:c r="E24" s="32"/>
      <x:c r="F24" s="32"/>
      <x:c r="G24" s="30" t="str">
        <x:v>S3</x:v>
      </x:c>
    </x:row>
    <x:row r="25">
      <x:c r="A25" t="str">
        <x:v>Reserve replacement ratio</x:v>
      </x:c>
      <x:c r="B25" s="34" t="n">
        <x:v>1.12</x:v>
      </x:c>
      <x:c r="C25" s="34" t="n">
        <x:v>1.98</x:v>
      </x:c>
      <x:c r="D25" s="34"/>
      <x:c r="E25" s="34"/>
      <x:c r="F25" s="34"/>
      <x:c r="G25" s="30" t="str">
        <x:v>S3</x:v>
      </x:c>
    </x:row>
    <x:row r="26">
      <x:c r="A26" t="str">
        <x:v>Cash + short-term investments ($bn)</x:v>
      </x:c>
      <x:c r="B26" s="42"/>
      <x:c r="C26" s="42"/>
      <x:c r="D26" s="42" t="n">
        <x:v>1.692</x:v>
      </x:c>
      <x:c r="E26" s="42"/>
      <x:c r="F26" s="42"/>
      <x:c r="G26" s="30" t="str">
        <x:v>S1</x:v>
      </x:c>
    </x:row>
    <x:row r="27">
      <x:c r="A27" t="str">
        <x:v>Total debt ($bn)</x:v>
      </x:c>
      <x:c r="B27" s="28"/>
      <x:c r="C27" s="28"/>
      <x:c r="D27" s="28" t="n">
        <x:v>10.117</x:v>
      </x:c>
      <x:c r="E27" s="28"/>
      <x:c r="F27" s="28"/>
      <x:c r="G27" s="30" t="str">
        <x:v>S1</x:v>
      </x:c>
    </x:row>
    <x:row r="28">
      <x:c r="A28" t="str">
        <x:v>USD average debt rate</x:v>
      </x:c>
      <x:c r="B28" s="28"/>
      <x:c r="C28" s="28"/>
      <x:c r="D28" s="28" t="n">
        <x:v>0.071</x:v>
      </x:c>
      <x:c r="E28" s="28"/>
      <x:c r="F28" s="28"/>
      <x:c r="G28" s="30" t="str">
        <x:v>S1</x:v>
      </x:c>
    </x:row>
    <x:row r="29">
      <x:c r="A29" t="str">
        <x:v>ADR-equivalent shares (mm)</x:v>
      </x:c>
      <x:c r="B29" s="28" t="n">
        <x:v>393.313</x:v>
      </x:c>
      <x:c r="C29" s="28" t="n">
        <x:v>393.313</x:v>
      </x:c>
      <x:c r="D29" s="28" t="n">
        <x:v>393.313</x:v>
      </x:c>
      <x:c r="E29" s="28"/>
      <x:c r="F29" s="28" t="n">
        <x:v>393.313</x:v>
      </x:c>
      <x:c r="G29" s="30" t="str">
        <x:v>S2</x:v>
      </x:c>
    </x:row>
    <x:row r="30">
      <x:c r="A30" t="str">
        <x:v>Current ADR price ($)</x:v>
      </x:c>
      <x:c r="B30" s="28"/>
      <x:c r="C30" s="28"/>
      <x:c r="D30" s="28"/>
      <x:c r="E30" s="28"/>
      <x:c r="F30" s="32" t="n">
        <x:v>49.22</x:v>
      </x:c>
      <x:c r="G30" s="30" t="str">
        <x:v>S2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6" hidden="0" customWidth="1"/>
    <x:col min="3" max="3" width="5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8" customHeight="1">
      <x:c r="A1" s="4" t="str">
        <x:v>Vaca Muerta Production &amp; Brent Sensitivity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0" customHeight="1">
      <x:c r="A2" s="10" t="str">
        <x:v>Shale-oil trajectory is based on YPF's 2025 IR Day best estimates (not formal guidance). Brent sensitivities are company-plan references and are used as scenario anchors.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9" t="str">
        <x:v>Metric</x:v>
      </x:c>
      <x:c r="B4" s="19" t="str">
        <x:v>2025A</x:v>
      </x:c>
      <x:c r="C4" s="19" t="str">
        <x:v>2026E</x:v>
      </x:c>
      <x:c r="D4" s="19" t="str">
        <x:v>2027E</x:v>
      </x:c>
      <x:c r="E4" s="19" t="str">
        <x:v>2028E</x:v>
      </x:c>
      <x:c r="F4" s="19" t="str">
        <x:v>2029E</x:v>
      </x:c>
      <x:c r="G4" s="19" t="str">
        <x:v>2030E</x:v>
      </x:c>
    </x:row>
    <x:row r="5">
      <x:c r="A5" t="str">
        <x:v>Shale oil net production (kbbl/d)</x:v>
      </x:c>
      <x:c r="B5" s="36" t="n">
        <x:v>165</x:v>
      </x:c>
      <x:c r="C5" s="36" t="n">
        <x:v>215</x:v>
      </x:c>
      <x:c r="D5" s="36" t="n">
        <x:v>290</x:v>
      </x:c>
      <x:c r="E5" s="36" t="n">
        <x:v>375</x:v>
      </x:c>
      <x:c r="F5" s="36" t="n">
        <x:v>445</x:v>
      </x:c>
      <x:c r="G5" s="36" t="n">
        <x:v>470</x:v>
      </x:c>
    </x:row>
    <x:row r="6">
      <x:c r="A6" t="str">
        <x:v>YoY growth</x:v>
      </x:c>
      <x:c r="B6" s="34"/>
      <x:c r="C6" s="46" t="n">
        <x:f>C5/B5-1</x:f>
        <x:v>0.303030303030303</x:v>
      </x:c>
      <x:c r="D6" s="46" t="n">
        <x:f>D5/C5-1</x:f>
        <x:v>0.34883720930232553</x:v>
      </x:c>
      <x:c r="E6" s="46" t="n">
        <x:f>E5/D5-1</x:f>
        <x:v>0.2931034482758621</x:v>
      </x:c>
      <x:c r="F6" s="46" t="n">
        <x:f>F5/E5-1</x:f>
        <x:v>0.18666666666666676</x:v>
      </x:c>
      <x:c r="G6" s="46" t="n">
        <x:f>G5/F5-1</x:f>
        <x:v>0.05617977528089879</x:v>
      </x:c>
    </x:row>
    <x:row r="7">
      <x:c r="A7" t="str">
        <x:v>Total proved reserves (Mboe)</x:v>
      </x:c>
      <x:c r="B7" s="36" t="n">
        <x:v>1284</x:v>
      </x:c>
      <x:c r="C7" s="36"/>
      <x:c r="D7" s="36"/>
      <x:c r="E7" s="36"/>
      <x:c r="F7" s="36"/>
      <x:c r="G7" s="36"/>
    </x:row>
    <x:row r="8">
      <x:c r="A8" t="str">
        <x:v>Vaca Muerta reserves share</x:v>
      </x:c>
      <x:c r="B8" s="34" t="n">
        <x:v>0.88</x:v>
      </x:c>
      <x:c r="C8" s="34"/>
      <x:c r="D8" s="34"/>
      <x:c r="E8" s="34"/>
      <x:c r="F8" s="34"/>
      <x:c r="G8" s="34"/>
    </x:row>
    <x:row r="9">
      <x:c r="A9" t="str">
        <x:v>Reserve life — total (years)</x:v>
      </x:c>
      <x:c r="B9" s="42" t="n">
        <x:v>6.7</x:v>
      </x:c>
      <x:c r="C9" s="42"/>
      <x:c r="D9" s="42"/>
      <x:c r="E9" s="42"/>
      <x:c r="F9" s="42"/>
      <x:c r="G9" s="42"/>
    </x:row>
    <x:row r="10">
      <x:c r="A10" t="str">
        <x:v>Reserve life — shale (years)</x:v>
      </x:c>
      <x:c r="B10" s="42" t="n">
        <x:v>9</x:v>
      </x:c>
      <x:c r="C10" s="42"/>
      <x:c r="D10" s="42"/>
      <x:c r="E10" s="42"/>
      <x:c r="F10" s="42"/>
      <x:c r="G10" s="42"/>
    </x:row>
    <x:row r="13">
      <x:c r="A13" s="49" t="str">
        <x:v>Company IR-Day EBITDA Sensitivity to Brent</x:v>
      </x:c>
      <x:c r="B13" s="49" t="str">
        <x:v>Company IR-Day EBITDA Sensitivity to Brent</x:v>
      </x:c>
      <x:c r="C13" s="49" t="str">
        <x:v>Company IR-Day EBITDA Sensitivity to Brent</x:v>
      </x:c>
      <x:c r="D13" s="49" t="str">
        <x:v>Company IR-Day EBITDA Sensitivity to Brent</x:v>
      </x:c>
      <x:c r="E13" s="49" t="str">
        <x:v>Company IR-Day EBITDA Sensitivity to Brent</x:v>
      </x:c>
      <x:c r="F13" s="49" t="str">
        <x:v>Company IR-Day EBITDA Sensitivity to Brent</x:v>
      </x:c>
      <x:c r="G13" s="49" t="str">
        <x:v>Company IR-Day EBITDA Sensitivity to Brent</x:v>
      </x:c>
    </x:row>
    <x:row r="14">
      <x:c r="A14" s="19" t="str">
        <x:v>Year</x:v>
      </x:c>
      <x:c r="B14" s="19" t="str">
        <x:v>Brent $50</x:v>
      </x:c>
      <x:c r="C14" s="19" t="str">
        <x:v>Brent $60</x:v>
      </x:c>
      <x:c r="D14" s="19" t="str">
        <x:v>Brent $70</x:v>
      </x:c>
      <x:c r="E14" s="19" t="str">
        <x:v>Brent $80</x:v>
      </x:c>
    </x:row>
    <x:row r="15">
      <x:c r="A15" t="n">
        <x:v>2026</x:v>
      </x:c>
      <x:c r="B15" s="32" t="n">
        <x:v>4.6</x:v>
      </x:c>
      <x:c r="C15" s="32" t="n">
        <x:v>5.4</x:v>
      </x:c>
      <x:c r="D15" s="32" t="n">
        <x:v>6.2</x:v>
      </x:c>
      <x:c r="E15" s="32" t="n">
        <x:v>7</x:v>
      </x:c>
    </x:row>
    <x:row r="16">
      <x:c r="A16" t="n">
        <x:v>2027</x:v>
      </x:c>
      <x:c r="B16" s="32" t="n">
        <x:v>5.9</x:v>
      </x:c>
      <x:c r="C16" s="32" t="n">
        <x:v>6.9</x:v>
      </x:c>
      <x:c r="D16" s="32" t="n">
        <x:v>7.8</x:v>
      </x:c>
      <x:c r="E16" s="32" t="n">
        <x:v>8.8</x:v>
      </x:c>
    </x:row>
    <x:row r="17">
      <x:c r="A17" t="n">
        <x:v>2028</x:v>
      </x:c>
      <x:c r="B17" s="32" t="n">
        <x:v>7.1</x:v>
      </x:c>
      <x:c r="C17" s="32" t="n">
        <x:v>8.3</x:v>
      </x:c>
      <x:c r="D17" s="32" t="n">
        <x:v>9.4</x:v>
      </x:c>
      <x:c r="E17" s="32" t="n">
        <x:v>10.6</x:v>
      </x:c>
    </x:row>
    <x:row r="18">
      <x:c r="A18" t="n">
        <x:v>2029</x:v>
      </x:c>
      <x:c r="B18" s="32" t="n">
        <x:v>8.2</x:v>
      </x:c>
      <x:c r="C18" s="32" t="n">
        <x:v>9.6</x:v>
      </x:c>
      <x:c r="D18" s="32" t="n">
        <x:v>11</x:v>
      </x:c>
      <x:c r="E18" s="32" t="n">
        <x:v>12.3</x:v>
      </x:c>
    </x:row>
    <x:row r="21">
      <x:c r="A21" s="49" t="str">
        <x:v>Company IR-Day FCF Sensitivity to Brent</x:v>
      </x:c>
      <x:c r="B21" s="49" t="str">
        <x:v>Company IR-Day FCF Sensitivity to Brent</x:v>
      </x:c>
      <x:c r="C21" s="49" t="str">
        <x:v>Company IR-Day FCF Sensitivity to Brent</x:v>
      </x:c>
      <x:c r="D21" s="49" t="str">
        <x:v>Company IR-Day FCF Sensitivity to Brent</x:v>
      </x:c>
      <x:c r="E21" s="49" t="str">
        <x:v>Company IR-Day FCF Sensitivity to Brent</x:v>
      </x:c>
      <x:c r="F21" s="49" t="str">
        <x:v>Company IR-Day FCF Sensitivity to Brent</x:v>
      </x:c>
      <x:c r="G21" s="49" t="str">
        <x:v>Company IR-Day FCF Sensitivity to Brent</x:v>
      </x:c>
    </x:row>
    <x:row r="22">
      <x:c r="A22" s="19" t="str">
        <x:v>Year</x:v>
      </x:c>
      <x:c r="B22" s="19" t="str">
        <x:v>Brent $50</x:v>
      </x:c>
      <x:c r="C22" s="19" t="str">
        <x:v>Brent $60</x:v>
      </x:c>
      <x:c r="D22" s="19" t="str">
        <x:v>Brent $70</x:v>
      </x:c>
      <x:c r="E22" s="19" t="str">
        <x:v>Brent $80</x:v>
      </x:c>
    </x:row>
    <x:row r="23">
      <x:c r="A23" t="n">
        <x:v>2026</x:v>
      </x:c>
      <x:c r="B23" s="32" t="n">
        <x:v>-1.2</x:v>
      </x:c>
      <x:c r="C23" s="32" t="n">
        <x:v>-0.3</x:v>
      </x:c>
      <x:c r="D23" s="32" t="n">
        <x:v>0.5</x:v>
      </x:c>
      <x:c r="E23" s="32" t="n">
        <x:v>1.3</x:v>
      </x:c>
    </x:row>
    <x:row r="24">
      <x:c r="A24" t="n">
        <x:v>2027</x:v>
      </x:c>
      <x:c r="B24" s="32" t="n">
        <x:v>-0.7</x:v>
      </x:c>
      <x:c r="C24" s="32" t="n">
        <x:v>0.3</x:v>
      </x:c>
      <x:c r="D24" s="32" t="n">
        <x:v>1.3</x:v>
      </x:c>
      <x:c r="E24" s="32" t="n">
        <x:v>2.3</x:v>
      </x:c>
    </x:row>
    <x:row r="25">
      <x:c r="A25" t="n">
        <x:v>2028</x:v>
      </x:c>
      <x:c r="B25" s="32" t="n">
        <x:v>-0.1</x:v>
      </x:c>
      <x:c r="C25" s="32" t="n">
        <x:v>1.2</x:v>
      </x:c>
      <x:c r="D25" s="32" t="n">
        <x:v>2.4</x:v>
      </x:c>
      <x:c r="E25" s="32" t="n">
        <x:v>3.6</x:v>
      </x:c>
    </x:row>
    <x:row r="26">
      <x:c r="A26" t="n">
        <x:v>2029</x:v>
      </x:c>
      <x:c r="B26" s="32" t="n">
        <x:v>0.3</x:v>
      </x:c>
      <x:c r="C26" s="32" t="n">
        <x:v>1.8</x:v>
      </x:c>
      <x:c r="D26" s="32" t="n">
        <x:v>3.1</x:v>
      </x:c>
      <x:c r="E26" s="32" t="n">
        <x:v>4.4</x:v>
      </x:c>
    </x:row>
    <x:row r="29">
      <x:c r="A29" s="49" t="str">
        <x:v>Operating Cost / Infrastructure Drivers</x:v>
      </x:c>
      <x:c r="B29" s="49" t="str">
        <x:v>Operating Cost / Infrastructure Drivers</x:v>
      </x:c>
      <x:c r="C29" s="49" t="str">
        <x:v>Operating Cost / Infrastructure Drivers</x:v>
      </x:c>
      <x:c r="D29" s="49" t="str">
        <x:v>Operating Cost / Infrastructure Drivers</x:v>
      </x:c>
      <x:c r="E29" s="49" t="str">
        <x:v>Operating Cost / Infrastructure Drivers</x:v>
      </x:c>
      <x:c r="F29" s="49" t="str">
        <x:v>Operating Cost / Infrastructure Drivers</x:v>
      </x:c>
      <x:c r="G29" s="49" t="str">
        <x:v>Operating Cost / Infrastructure Drivers</x:v>
      </x:c>
    </x:row>
    <x:row r="30">
      <x:c r="A30" s="19" t="str">
        <x:v>Driver</x:v>
      </x:c>
      <x:c r="B30" s="19" t="str">
        <x:v>Current / plan</x:v>
      </x:c>
      <x:c r="C30" s="19" t="str">
        <x:v>Model importance</x:v>
      </x:c>
      <x:c r="D30" s="19" t="str">
        <x:v>Source</x:v>
      </x:c>
    </x:row>
    <x:row r="31">
      <x:c r="A31" s="26" t="str">
        <x:v>Q1 total lifting cost</x:v>
      </x:c>
      <x:c r="B31" s="26" t="str">
        <x:v>$8.8/boe</x:v>
      </x:c>
      <x:c r="C31" s="26" t="str">
        <x:v>Legacy portfolio exits + shale mix lower structural cost</x:v>
      </x:c>
      <x:c r="D31" s="26" t="str">
        <x:v>S1</x:v>
      </x:c>
    </x:row>
    <x:row r="32">
      <x:c r="A32" s="26" t="str">
        <x:v>Q1 shale hub lifting cost</x:v>
      </x:c>
      <x:c r="B32" s="26" t="str">
        <x:v>$4.0/boe</x:v>
      </x:c>
      <x:c r="C32" s="26" t="str">
        <x:v>Supports Vaca Muerta competitiveness at lower Brent</x:v>
      </x:c>
      <x:c r="D32" s="26" t="str">
        <x:v>S1</x:v>
      </x:c>
    </x:row>
    <x:row r="33">
      <x:c r="A33" s="26" t="str">
        <x:v>VMOS construction</x:v>
      </x:c>
      <x:c r="B33" s="26" t="str">
        <x:v>~62% at Mar-26</x:v>
      </x:c>
      <x:c r="C33" s="26" t="str">
        <x:v>First oil early 2027; full ~550 kbbl/d in 2H27</x:v>
      </x:c>
      <x:c r="D33" s="26" t="str">
        <x:v>S1</x:v>
      </x:c>
    </x:row>
    <x:row r="34">
      <x:c r="A34" s="26" t="str">
        <x:v>YPF VMOS capacity</x:v>
      </x:c>
      <x:c r="B34" s="26" t="str">
        <x:v>164 kbbl/d</x:v>
      </x:c>
      <x:c r="C34" s="26" t="str">
        <x:v>~30% of 550 kbbl/d system; relieves evacuation constraint</x:v>
      </x:c>
      <x:c r="D34" s="26" t="str">
        <x:v>S1</x:v>
      </x:c>
    </x:row>
    <x:row r="35">
      <x:c r="A35" s="26" t="str">
        <x:v>Argentina LNG</x:v>
      </x:c>
      <x:c r="B35" s="26" t="str">
        <x:v>2+1 FLNG / up to 18 mtpa</x:v>
      </x:c>
      <x:c r="C35" s="26" t="str">
        <x:v>Long-dated optionality, not base operating forecast</x:v>
      </x:c>
      <x:c r="D35" s="26" t="str">
        <x:v>S6/S7</x:v>
      </x:c>
    </x:row>
  </x:sheetData>
  <x:mergeCells>
    <x:mergeCell ref="A1:K1"/>
    <x:mergeCell ref="A2:K2"/>
    <x:mergeCell ref="A13:G13"/>
    <x:mergeCell ref="A21:G21"/>
    <x:mergeCell ref="A29:G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</x:cols>
  <x:sheetData>
    <x:row r="1" ht="28" customHeight="1">
      <x:c r="A1" s="4" t="str">
        <x:v>Infrastructure &amp; LNG Optionality</x:v>
      </x:c>
      <x:c r="B1" s="4"/>
      <x:c r="C1" s="4"/>
      <x:c r="D1" s="4"/>
      <x:c r="E1" s="4"/>
      <x:c r="F1" s="4"/>
    </x:row>
    <x:row r="2" ht="30" customHeight="1">
      <x:c r="A2" s="10" t="str">
        <x:v>VMOS is largely embedded in the base shale-development economics. Argentina LNG is valued separately only as probability-weighted optionality to avoid treating an early-stage project as certain.</x:v>
      </x:c>
      <x:c r="B2" s="10"/>
      <x:c r="C2" s="10"/>
      <x:c r="D2" s="10"/>
      <x:c r="E2" s="10"/>
      <x:c r="F2" s="10"/>
    </x:row>
    <x:row r="4">
      <x:c r="A4" s="49" t="str">
        <x:v>Argentina LNG</x:v>
      </x:c>
      <x:c r="B4" s="49" t="str">
        <x:v>Argentina LNG</x:v>
      </x:c>
      <x:c r="C4" s="49" t="str">
        <x:v>Argentina LNG</x:v>
      </x:c>
      <x:c r="D4" s="49" t="str">
        <x:v>Argentina LNG</x:v>
      </x:c>
      <x:c r="E4" s="49" t="str">
        <x:v>Argentina LNG</x:v>
      </x:c>
      <x:c r="F4" s="49" t="str">
        <x:v>Argentina LNG</x:v>
      </x:c>
    </x:row>
    <x:row r="5">
      <x:c r="A5" s="19" t="str">
        <x:v>Metric</x:v>
      </x:c>
      <x:c r="B5" s="19" t="str">
        <x:v>Bear</x:v>
      </x:c>
      <x:c r="C5" s="19" t="str">
        <x:v>Base</x:v>
      </x:c>
      <x:c r="D5" s="19" t="str">
        <x:v>Bull</x:v>
      </x:c>
    </x:row>
    <x:row r="6">
      <x:c r="A6" t="str">
        <x:v>Long-run YPF LNG EBITDA potential ($bn)</x:v>
      </x:c>
      <x:c r="B6" s="56" t="n">
        <x:v>0.4</x:v>
      </x:c>
      <x:c r="C6" s="56" t="n">
        <x:v>1</x:v>
      </x:c>
      <x:c r="D6" s="56" t="n">
        <x:v>1.6</x:v>
      </x:c>
    </x:row>
    <x:row r="7">
      <x:c r="A7" t="str">
        <x:v>Valuation multiple</x:v>
      </x:c>
      <x:c r="B7" s="58" t="n">
        <x:v>4</x:v>
      </x:c>
      <x:c r="C7" s="58" t="n">
        <x:v>6</x:v>
      </x:c>
      <x:c r="D7" s="58" t="n">
        <x:v>8</x:v>
      </x:c>
    </x:row>
    <x:row r="8">
      <x:c r="A8" t="str">
        <x:v>Future gross value ($bn)</x:v>
      </x:c>
      <x:c r="B8" s="60" t="n">
        <x:f>B6*B7</x:f>
        <x:v>1.6</x:v>
      </x:c>
      <x:c r="C8" s="60" t="n">
        <x:f>C6*C7</x:f>
        <x:v>6</x:v>
      </x:c>
      <x:c r="D8" s="60" t="n">
        <x:f>D6*D7</x:f>
        <x:v>12.8</x:v>
      </x:c>
    </x:row>
    <x:row r="9">
      <x:c r="A9" t="str">
        <x:v>YPF economic ownership factor</x:v>
      </x:c>
      <x:c r="B9" s="62" t="n">
        <x:v>0.36</x:v>
      </x:c>
      <x:c r="C9" s="62" t="n">
        <x:v>0.36</x:v>
      </x:c>
      <x:c r="D9" s="62" t="n">
        <x:v>0.36</x:v>
      </x:c>
    </x:row>
    <x:row r="10">
      <x:c r="A10" t="str">
        <x:v>Execution probability</x:v>
      </x:c>
      <x:c r="B10" s="62" t="n">
        <x:v>0.25</x:v>
      </x:c>
      <x:c r="C10" s="62" t="n">
        <x:v>0.45</x:v>
      </x:c>
      <x:c r="D10" s="62" t="n">
        <x:v>0.65</x:v>
      </x:c>
    </x:row>
    <x:row r="11">
      <x:c r="A11" t="str">
        <x:v>Discount rate</x:v>
      </x:c>
      <x:c r="B11" s="62" t="n">
        <x:v>0.18</x:v>
      </x:c>
      <x:c r="C11" s="62" t="n">
        <x:v>0.14</x:v>
      </x:c>
      <x:c r="D11" s="62" t="n">
        <x:v>0.11</x:v>
      </x:c>
    </x:row>
    <x:row r="12">
      <x:c r="A12" t="str">
        <x:v>Years to meaningful scale</x:v>
      </x:c>
      <x:c r="B12" s="64" t="n">
        <x:v>5.5</x:v>
      </x:c>
      <x:c r="C12" s="64" t="n">
        <x:v>5.5</x:v>
      </x:c>
      <x:c r="D12" s="64" t="n">
        <x:v>5.5</x:v>
      </x:c>
    </x:row>
    <x:row r="13">
      <x:c r="A13" s="70" t="str">
        <x:v>LNG option PV ($bn)</x:v>
      </x:c>
      <x:c r="B13" s="71" t="n">
        <x:f>B8*B9*B10/(1+B11)^B12</x:f>
        <x:v>0.057944397558411374</x:v>
      </x:c>
      <x:c r="C13" s="71" t="n">
        <x:f>C8*C9*C10/(1+C11)^C12</x:f>
        <x:v>0.4728131890029909</x:v>
      </x:c>
      <x:c r="D13" s="71" t="n">
        <x:f>D8*D9*D10/(1+D11)^D12</x:f>
        <x:v>1.6871334797992004</x:v>
      </x:c>
    </x:row>
    <x:row r="16">
      <x:c r="A16" s="49" t="str">
        <x:v>Why the Haircut Is Large</x:v>
      </x:c>
      <x:c r="B16" s="49" t="str">
        <x:v>Why the Haircut Is Large</x:v>
      </x:c>
      <x:c r="C16" s="49" t="str">
        <x:v>Why the Haircut Is Large</x:v>
      </x:c>
      <x:c r="D16" s="49" t="str">
        <x:v>Why the Haircut Is Large</x:v>
      </x:c>
      <x:c r="E16" s="49" t="str">
        <x:v>Why the Haircut Is Large</x:v>
      </x:c>
      <x:c r="F16" s="49" t="str">
        <x:v>Why the Haircut Is Large</x:v>
      </x:c>
    </x:row>
    <x:row r="17">
      <x:c r="A17" s="19" t="str">
        <x:v>Factor</x:v>
      </x:c>
      <x:c r="B17" s="19" t="str">
        <x:v>Treatment</x:v>
      </x:c>
      <x:c r="C17" s="19" t="str">
        <x:v>Evidence</x:v>
      </x:c>
    </x:row>
    <x:row r="18">
      <x:c r="A18" s="26" t="str">
        <x:v>Project scale</x:v>
      </x:c>
      <x:c r="B18" s="26" t="str">
        <x:v>Potential 2+1 FLNG / up to 18 mtpa is not treated as committed cash flow</x:v>
      </x:c>
      <x:c r="C18" s="26" t="str">
        <x:v>S7</x:v>
      </x:c>
    </x:row>
    <x:row r="19">
      <x:c r="A19" s="26" t="str">
        <x:v>Partner structure</x:v>
      </x:c>
      <x:c r="B19" s="26" t="str">
        <x:v>Eni + XRG each 32%, YPF retains 36% in dedicated upstream company</x:v>
      </x:c>
      <x:c r="C19" s="26" t="str">
        <x:v>S6</x:v>
      </x:c>
    </x:row>
    <x:row r="20">
      <x:c r="A20" s="26" t="str">
        <x:v>Project finance</x:v>
      </x:c>
      <x:c r="B20" s="26" t="str">
        <x:v>Long-dated capital-intensive project; model discounts several years</x:v>
      </x:c>
      <x:c r="C20" s="26" t="str">
        <x:v>S5/S6</x:v>
      </x:c>
    </x:row>
    <x:row r="21">
      <x:c r="A21" s="26" t="str">
        <x:v>Base forecast</x:v>
      </x:c>
      <x:c r="B21" s="26" t="str">
        <x:v>No material LNG EBITDA added to 2026-2030 core forecast</x:v>
      </x:c>
      <x:c r="C21" s="26" t="str">
        <x:v>Model conservatism</x:v>
      </x:c>
    </x:row>
  </x:sheetData>
  <x:mergeCells>
    <x:mergeCell ref="A1:F1"/>
    <x:mergeCell ref="A2:F2"/>
    <x:mergeCell ref="A4:F4"/>
    <x:mergeCell ref="A16:F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8" customHeight="1">
      <x:c r="A1" s="4" t="str">
        <x:v>Capital Structure &amp; ADR Share Count</x:v>
      </x:c>
      <x:c r="B1" s="4"/>
      <x:c r="C1" s="4"/>
      <x:c r="D1" s="4"/>
      <x:c r="E1" s="4"/>
    </x:row>
    <x:row r="2" ht="30" customHeight="1">
      <x:c r="A2" s="10" t="str">
        <x:v>The Aug 4 2026 local 1-for-10 stock split changed local share count and ADR:share ratio, but the economic ADR-equivalent count remains ~393.3M.</x:v>
      </x:c>
      <x:c r="B2" s="10"/>
      <x:c r="C2" s="10"/>
      <x:c r="D2" s="10"/>
      <x:c r="E2" s="10"/>
    </x:row>
    <x:row r="4">
      <x:c r="A4" s="19" t="str">
        <x:v>Metric</x:v>
      </x:c>
      <x:c r="B4" s="19" t="str">
        <x:v>Value</x:v>
      </x:c>
      <x:c r="C4" s="19" t="str">
        <x:v>Source / treatment</x:v>
      </x:c>
    </x:row>
    <x:row r="5">
      <x:c r="A5" t="str">
        <x:v>Cash + short-term investments ($bn)</x:v>
      </x:c>
      <x:c r="B5" s="32" t="n">
        <x:v>1.692</x:v>
      </x:c>
      <x:c r="C5" t="str">
        <x:v>S1</x:v>
      </x:c>
    </x:row>
    <x:row r="6">
      <x:c r="A6" t="str">
        <x:v>Total debt ($bn)</x:v>
      </x:c>
      <x:c r="B6" s="32" t="n">
        <x:v>10.117</x:v>
      </x:c>
      <x:c r="C6" t="str">
        <x:v>S1</x:v>
      </x:c>
    </x:row>
    <x:row r="7">
      <x:c r="A7" t="str">
        <x:v>Current net debt ($bn)</x:v>
      </x:c>
      <x:c r="B7" s="66" t="n">
        <x:f>B6-B5</x:f>
        <x:v>8.425</x:v>
      </x:c>
      <x:c r="C7" t="str">
        <x:v>Calculated</x:v>
      </x:c>
    </x:row>
    <x:row r="8">
      <x:c r="A8" t="str">
        <x:v>Q1 net leverage</x:v>
      </x:c>
      <x:c r="B8" s="76" t="n">
        <x:v>1.57</x:v>
      </x:c>
      <x:c r="C8" t="str">
        <x:v>S1</x:v>
      </x:c>
    </x:row>
    <x:row r="9">
      <x:c r="A9" t="str">
        <x:v>ADR-equivalent shares (mm)</x:v>
      </x:c>
      <x:c r="B9" s="42" t="n">
        <x:v>393.312793</x:v>
      </x:c>
      <x:c r="C9" t="str">
        <x:v>S2</x:v>
      </x:c>
    </x:row>
    <x:row r="10">
      <x:c r="A10" t="str">
        <x:v>Current ADR price ($)</x:v>
      </x:c>
      <x:c r="B10" s="32" t="n">
        <x:v>49.22</x:v>
      </x:c>
      <x:c r="C10" t="str">
        <x:v>S2</x:v>
      </x:c>
    </x:row>
    <x:row r="11">
      <x:c r="A11" t="str">
        <x:v>Current market cap ($bn)</x:v>
      </x:c>
      <x:c r="B11" s="66" t="n">
        <x:f>B9*B10/1000</x:f>
        <x:v>19.35885567146</x:v>
      </x:c>
      <x:c r="C11" t="str">
        <x:v>Calculated</x:v>
      </x:c>
    </x:row>
    <x:row r="12">
      <x:c r="A12" t="str">
        <x:v>Current enterprise value ($bn)</x:v>
      </x:c>
      <x:c r="B12" s="66" t="n">
        <x:f>B11+B7</x:f>
        <x:v>27.78385567146</x:v>
      </x:c>
      <x:c r="C12" t="str">
        <x:v>Calculated</x:v>
      </x:c>
    </x:row>
    <x:row r="13">
      <x:c r="A13" t="str">
        <x:v>Current EV / 2026 EBITDA guide midpoint</x:v>
      </x:c>
      <x:c r="B13" s="78" t="n">
        <x:f>B12/Historical!E6</x:f>
        <x:v>4.63064261191</x:v>
      </x:c>
      <x:c r="C13" t="str">
        <x:v>Calculated</x:v>
      </x:c>
    </x:row>
    <x:row r="16">
      <x:c r="A16" s="49" t="str">
        <x:v>Projected Net Debt</x:v>
      </x:c>
      <x:c r="B16" s="49" t="str">
        <x:v>Projected Net Debt</x:v>
      </x:c>
      <x:c r="C16" s="49" t="str">
        <x:v>Projected Net Debt</x:v>
      </x:c>
      <x:c r="D16" s="49" t="str">
        <x:v>Projected Net Debt</x:v>
      </x:c>
    </x:row>
    <x:row r="17">
      <x:c r="A17" s="19" t="str">
        <x:v>Metric</x:v>
      </x:c>
      <x:c r="B17" s="19" t="str">
        <x:v>Bear</x:v>
      </x:c>
      <x:c r="C17" s="19" t="str">
        <x:v>Base</x:v>
      </x:c>
      <x:c r="D17" s="19" t="str">
        <x:v>Bull</x:v>
      </x:c>
    </x:row>
    <x:row r="18">
      <x:c r="A18" t="str">
        <x:v>2028 net debt ($bn)</x:v>
      </x:c>
      <x:c r="B18" s="56" t="n">
        <x:v>7</x:v>
      </x:c>
      <x:c r="C18" s="56" t="n">
        <x:v>3.8</x:v>
      </x:c>
      <x:c r="D18" s="56" t="n">
        <x:v>2</x:v>
      </x:c>
    </x:row>
    <x:row r="19">
      <x:c r="A19" t="str">
        <x:v>2030 net debt ($bn)</x:v>
      </x:c>
      <x:c r="B19" s="56" t="n">
        <x:v>6</x:v>
      </x:c>
      <x:c r="C19" s="56" t="n">
        <x:v>1.2</x:v>
      </x:c>
      <x:c r="D19" s="56" t="n">
        <x:v>0.5</x:v>
      </x:c>
    </x:row>
    <x:row r="20">
      <x:c r="A20" t="str">
        <x:v>ADR-equivalent shares (mm)</x:v>
      </x:c>
      <x:c r="B20" s="80" t="n">
        <x:v>393.313</x:v>
      </x:c>
      <x:c r="C20" s="80" t="n">
        <x:v>393.313</x:v>
      </x:c>
      <x:c r="D20" s="80" t="n">
        <x:v>393.313</x:v>
      </x:c>
    </x:row>
    <x:row r="23">
      <x:c r="A23" s="49" t="str">
        <x:v>Q1 Debt Management</x:v>
      </x:c>
      <x:c r="B23" s="49" t="str">
        <x:v>Q1 Debt Management</x:v>
      </x:c>
      <x:c r="C23" s="49" t="str">
        <x:v>Q1 Debt Management</x:v>
      </x:c>
      <x:c r="D23" s="49" t="str">
        <x:v>Q1 Debt Management</x:v>
      </x:c>
    </x:row>
    <x:row r="24">
      <x:c r="A24" s="19" t="str">
        <x:v>Item</x:v>
      </x:c>
      <x:c r="B24" s="19" t="str">
        <x:v>Q1 / post-Q1 fact</x:v>
      </x:c>
      <x:c r="C24" s="19" t="str">
        <x:v>Source</x:v>
      </x:c>
    </x:row>
    <x:row r="25">
      <x:c r="A25" s="26" t="str">
        <x:v>Q1 proactive prepayments</x:v>
      </x:c>
      <x:c r="B25" s="26" t="str">
        <x:v>$525M of 2026-28 maturities</x:v>
      </x:c>
      <x:c r="C25" s="26" t="str">
        <x:v>S1</x:v>
      </x:c>
    </x:row>
    <x:row r="26">
      <x:c r="A26" s="26" t="str">
        <x:v>First four months 2026</x:v>
      </x:c>
      <x:c r="B26" s="26" t="str">
        <x:v>~$750M proactive debt prepayments</x:v>
      </x:c>
      <x:c r="C26" s="26" t="str">
        <x:v>S1</x:v>
      </x:c>
    </x:row>
    <x:row r="27">
      <x:c r="A27" s="26" t="str">
        <x:v>Remaining 2026 maturities at Q1 disclosure</x:v>
      </x:c>
      <x:c r="B27" s="26" t="str">
        <x:v>~$1.036B</x:v>
      </x:c>
      <x:c r="C27" s="26" t="str">
        <x:v>S1</x:v>
      </x:c>
    </x:row>
    <x:row r="28">
      <x:c r="A28" s="26" t="str">
        <x:v>Average USD debt rate</x:v>
      </x:c>
      <x:c r="B28" s="26" t="str">
        <x:v>7.1%</x:v>
      </x:c>
      <x:c r="C28" s="26" t="str">
        <x:v>S1</x:v>
      </x:c>
    </x:row>
    <x:row r="29">
      <x:c r="A29" s="26" t="str">
        <x:v>USD denomination</x:v>
      </x:c>
      <x:c r="B29" s="26" t="str">
        <x:v>99.2%</x:v>
      </x:c>
      <x:c r="C29" s="26" t="str">
        <x:v>S1</x:v>
      </x:c>
    </x:row>
  </x:sheetData>
  <x:mergeCells>
    <x:mergeCell ref="A1:E1"/>
    <x:mergeCell ref="A2:E2"/>
    <x:mergeCell ref="A16:D16"/>
    <x:mergeCell ref="A23:D2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8" customHeight="1">
      <x:c r="A1" s="4" t="str">
        <x:v>2026–2035 Scenario Forecast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0" customHeight="1">
      <x:c r="A2" s="10" t="str">
        <x:v>Base 2026-2029 EBITDA / FCF broadly follows company IR-Day Brent-$70 economics; Bear and Bull use Brent-$60 / $80 anchors. Beyond 2029, assumptions are analyst estimates.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9" t="str">
        <x:v>Metric</x:v>
      </x:c>
      <x:c r="B4" s="19" t="str">
        <x:v>2026E</x:v>
      </x:c>
      <x:c r="C4" s="19" t="str">
        <x:v>2027E</x:v>
      </x:c>
      <x:c r="D4" s="19" t="str">
        <x:v>2028E</x:v>
      </x:c>
      <x:c r="E4" s="19" t="str">
        <x:v>2029E</x:v>
      </x:c>
      <x:c r="F4" s="19" t="str">
        <x:v>2030E</x:v>
      </x:c>
      <x:c r="G4" s="19" t="str">
        <x:v>2031E</x:v>
      </x:c>
      <x:c r="H4" s="19" t="str">
        <x:v>2032E</x:v>
      </x:c>
      <x:c r="I4" s="19" t="str">
        <x:v>2033E</x:v>
      </x:c>
      <x:c r="J4" s="19" t="str">
        <x:v>2034E</x:v>
      </x:c>
      <x:c r="K4" s="19" t="str">
        <x:v>2035E</x:v>
      </x:c>
    </x:row>
    <x:row r="5">
      <x:c r="A5" s="49" t="str">
        <x:v>Bear Scenario</x:v>
      </x:c>
      <x:c r="B5" s="49" t="str">
        <x:v>Bear Scenario</x:v>
      </x:c>
      <x:c r="C5" s="49" t="str">
        <x:v>Bear Scenario</x:v>
      </x:c>
      <x:c r="D5" s="49" t="str">
        <x:v>Bear Scenario</x:v>
      </x:c>
      <x:c r="E5" s="49" t="str">
        <x:v>Bear Scenario</x:v>
      </x:c>
      <x:c r="F5" s="49" t="str">
        <x:v>Bear Scenario</x:v>
      </x:c>
      <x:c r="G5" s="49" t="str">
        <x:v>Bear Scenario</x:v>
      </x:c>
      <x:c r="H5" s="49" t="str">
        <x:v>Bear Scenario</x:v>
      </x:c>
      <x:c r="I5" s="49" t="str">
        <x:v>Bear Scenario</x:v>
      </x:c>
      <x:c r="J5" s="49" t="str">
        <x:v>Bear Scenario</x:v>
      </x:c>
      <x:c r="K5" s="49" t="str">
        <x:v>Bear Scenario</x:v>
      </x:c>
    </x:row>
    <x:row r="6">
      <x:c r="A6" t="str">
        <x:v>Brent reference ($/bbl)</x:v>
      </x:c>
      <x:c r="B6" s="40" t="n">
        <x:v>60</x:v>
      </x:c>
      <x:c r="C6" s="40" t="n">
        <x:v>60</x:v>
      </x:c>
      <x:c r="D6" s="40" t="n">
        <x:v>60</x:v>
      </x:c>
      <x:c r="E6" s="40" t="n">
        <x:v>60</x:v>
      </x:c>
      <x:c r="F6" s="40" t="n">
        <x:v>60</x:v>
      </x:c>
      <x:c r="G6" s="40" t="n">
        <x:v>60</x:v>
      </x:c>
      <x:c r="H6" s="40" t="n">
        <x:v>60</x:v>
      </x:c>
      <x:c r="I6" s="40" t="n">
        <x:v>60</x:v>
      </x:c>
      <x:c r="J6" s="40" t="n">
        <x:v>60</x:v>
      </x:c>
      <x:c r="K6" s="40" t="n">
        <x:v>60</x:v>
      </x:c>
    </x:row>
    <x:row r="7">
      <x:c r="A7" t="str">
        <x:v>Revenue ($bn)</x:v>
      </x:c>
      <x:c r="B7" s="32" t="n">
        <x:v>18</x:v>
      </x:c>
      <x:c r="C7" s="32" t="n">
        <x:v>18.7</x:v>
      </x:c>
      <x:c r="D7" s="32" t="n">
        <x:v>19.8</x:v>
      </x:c>
      <x:c r="E7" s="32" t="n">
        <x:v>21</x:v>
      </x:c>
      <x:c r="F7" s="32" t="n">
        <x:v>21.7</x:v>
      </x:c>
      <x:c r="G7" s="32" t="n">
        <x:v>22.2</x:v>
      </x:c>
      <x:c r="H7" s="32" t="n">
        <x:v>22.8</x:v>
      </x:c>
      <x:c r="I7" s="32" t="n">
        <x:v>23.3</x:v>
      </x:c>
      <x:c r="J7" s="32" t="n">
        <x:v>23.8</x:v>
      </x:c>
      <x:c r="K7" s="32" t="n">
        <x:v>24.3</x:v>
      </x:c>
    </x:row>
    <x:row r="8">
      <x:c r="A8" t="str">
        <x:v>Adjusted EBITDA ($bn)</x:v>
      </x:c>
      <x:c r="B8" s="32" t="n">
        <x:v>5.4</x:v>
      </x:c>
      <x:c r="C8" s="32" t="n">
        <x:v>6.9</x:v>
      </x:c>
      <x:c r="D8" s="32" t="n">
        <x:v>8.3</x:v>
      </x:c>
      <x:c r="E8" s="32" t="n">
        <x:v>9.6</x:v>
      </x:c>
      <x:c r="F8" s="32" t="n">
        <x:v>9.8</x:v>
      </x:c>
      <x:c r="G8" s="32" t="n">
        <x:v>10</x:v>
      </x:c>
      <x:c r="H8" s="32" t="n">
        <x:v>10.1</x:v>
      </x:c>
      <x:c r="I8" s="32" t="n">
        <x:v>10.2</x:v>
      </x:c>
      <x:c r="J8" s="32" t="n">
        <x:v>10.3</x:v>
      </x:c>
      <x:c r="K8" s="32" t="n">
        <x:v>10.4</x:v>
      </x:c>
    </x:row>
    <x:row r="9">
      <x:c r="A9" t="str">
        <x:v>EBITDA margin</x:v>
      </x:c>
      <x:c r="B9" s="46" t="n">
        <x:f>B8/B7</x:f>
        <x:v>0.30000000000000004</x:v>
      </x:c>
      <x:c r="C9" s="46" t="n">
        <x:f>C8/C7</x:f>
        <x:v>0.36898395721925137</x:v>
      </x:c>
      <x:c r="D9" s="46" t="n">
        <x:f>D8/D7</x:f>
        <x:v>0.4191919191919192</x:v>
      </x:c>
      <x:c r="E9" s="46" t="n">
        <x:f>E8/E7</x:f>
        <x:v>0.45714285714285713</x:v>
      </x:c>
      <x:c r="F9" s="46" t="n">
        <x:f>F8/F7</x:f>
        <x:v>0.4516129032258065</x:v>
      </x:c>
      <x:c r="G9" s="46" t="n">
        <x:f>G8/G7</x:f>
        <x:v>0.45045045045045046</x:v>
      </x:c>
      <x:c r="H9" s="46" t="n">
        <x:f>H8/H7</x:f>
        <x:v>0.44298245614035087</x:v>
      </x:c>
      <x:c r="I9" s="46" t="n">
        <x:f>I8/I7</x:f>
        <x:v>0.4377682403433476</x:v>
      </x:c>
      <x:c r="J9" s="46" t="n">
        <x:f>J8/J7</x:f>
        <x:v>0.4327731092436975</x:v>
      </x:c>
      <x:c r="K9" s="46" t="n">
        <x:f>K8/K7</x:f>
        <x:v>0.4279835390946502</x:v>
      </x:c>
    </x:row>
    <x:row r="10">
      <x:c r="A10" t="str">
        <x:v>CAPEX ($bn)</x:v>
      </x:c>
      <x:c r="B10" s="66" t="n">
        <x:v>5.6</x:v>
      </x:c>
      <x:c r="C10" s="66" t="n">
        <x:v>5.4</x:v>
      </x:c>
      <x:c r="D10" s="66" t="n">
        <x:v>5.6</x:v>
      </x:c>
      <x:c r="E10" s="66" t="n">
        <x:v>5.9</x:v>
      </x:c>
      <x:c r="F10" s="66" t="n">
        <x:v>5.2</x:v>
      </x:c>
      <x:c r="G10" s="66" t="n">
        <x:v>4.8</x:v>
      </x:c>
      <x:c r="H10" s="66" t="n">
        <x:v>4.6</x:v>
      </x:c>
      <x:c r="I10" s="66" t="n">
        <x:v>4.5</x:v>
      </x:c>
      <x:c r="J10" s="66" t="n">
        <x:v>4.4</x:v>
      </x:c>
      <x:c r="K10" s="66" t="n">
        <x:v>4.4</x:v>
      </x:c>
    </x:row>
    <x:row r="11">
      <x:c r="A11" t="str">
        <x:v>Free cash flow ($bn)</x:v>
      </x:c>
      <x:c r="B11" s="66" t="n">
        <x:v>-0.3</x:v>
      </x:c>
      <x:c r="C11" s="66" t="n">
        <x:v>0.3</x:v>
      </x:c>
      <x:c r="D11" s="66" t="n">
        <x:v>1.2</x:v>
      </x:c>
      <x:c r="E11" s="66" t="n">
        <x:v>1.8</x:v>
      </x:c>
      <x:c r="F11" s="66" t="n">
        <x:v>2.1</x:v>
      </x:c>
      <x:c r="G11" s="66" t="n">
        <x:v>2.3</x:v>
      </x:c>
      <x:c r="H11" s="66" t="n">
        <x:v>2.4</x:v>
      </x:c>
      <x:c r="I11" s="66" t="n">
        <x:v>2.5</x:v>
      </x:c>
      <x:c r="J11" s="66" t="n">
        <x:v>2.6</x:v>
      </x:c>
      <x:c r="K11" s="66" t="n">
        <x:v>2.7</x:v>
      </x:c>
    </x:row>
    <x:row r="12">
      <x:c r="A12" t="str">
        <x:v>FCF margin</x:v>
      </x:c>
      <x:c r="B12" s="46" t="n">
        <x:f>B11/B7</x:f>
        <x:v>-0.016666666666666666</x:v>
      </x:c>
      <x:c r="C12" s="46" t="n">
        <x:f>C11/C7</x:f>
        <x:v>0.016042780748663103</x:v>
      </x:c>
      <x:c r="D12" s="46" t="n">
        <x:f>D11/D7</x:f>
        <x:v>0.0606060606060606</x:v>
      </x:c>
      <x:c r="E12" s="46" t="n">
        <x:f>E11/E7</x:f>
        <x:v>0.08571428571428572</x:v>
      </x:c>
      <x:c r="F12" s="46" t="n">
        <x:f>F11/F7</x:f>
        <x:v>0.09677419354838711</x:v>
      </x:c>
      <x:c r="G12" s="46" t="n">
        <x:f>G11/G7</x:f>
        <x:v>0.1036036036036036</x:v>
      </x:c>
      <x:c r="H12" s="46" t="n">
        <x:f>H11/H7</x:f>
        <x:v>0.10526315789473684</x:v>
      </x:c>
      <x:c r="I12" s="46" t="n">
        <x:f>I11/I7</x:f>
        <x:v>0.1072961373390558</x:v>
      </x:c>
      <x:c r="J12" s="46" t="n">
        <x:f>J11/J7</x:f>
        <x:v>0.1092436974789916</x:v>
      </x:c>
      <x:c r="K12" s="46" t="n">
        <x:f>K11/K7</x:f>
        <x:v>0.11111111111111112</x:v>
      </x:c>
    </x:row>
    <x:row r="13">
      <x:c r="A13" t="str">
        <x:v>Shale oil production (kbbl/d)</x:v>
      </x:c>
      <x:c r="B13" s="82" t="n">
        <x:v>205</x:v>
      </x:c>
      <x:c r="C13" s="82" t="n">
        <x:v>270</x:v>
      </x:c>
      <x:c r="D13" s="82" t="n">
        <x:v>340</x:v>
      </x:c>
      <x:c r="E13" s="82" t="n">
        <x:v>400</x:v>
      </x:c>
      <x:c r="F13" s="82" t="n">
        <x:v>425</x:v>
      </x:c>
      <x:c r="G13" s="82" t="n">
        <x:v>435</x:v>
      </x:c>
      <x:c r="H13" s="82" t="n">
        <x:v>445</x:v>
      </x:c>
      <x:c r="I13" s="82" t="n">
        <x:v>455</x:v>
      </x:c>
      <x:c r="J13" s="82" t="n">
        <x:v>465</x:v>
      </x:c>
      <x:c r="K13" s="82" t="n">
        <x:v>475</x:v>
      </x:c>
    </x:row>
    <x:row r="14">
      <x:c r="A14" t="str">
        <x:v>YoY shale growth</x:v>
      </x:c>
      <x:c r="B14" s="46"/>
      <x:c r="C14" s="46" t="n">
        <x:f>C13/B13-1</x:f>
        <x:v>0.3170731707317074</x:v>
      </x:c>
      <x:c r="D14" s="46" t="n">
        <x:f>D13/C13-1</x:f>
        <x:v>0.2592592592592593</x:v>
      </x:c>
      <x:c r="E14" s="46" t="n">
        <x:f>E13/D13-1</x:f>
        <x:v>0.17647058823529416</x:v>
      </x:c>
      <x:c r="F14" s="46" t="n">
        <x:f>F13/E13-1</x:f>
        <x:v>0.0625</x:v>
      </x:c>
      <x:c r="G14" s="46" t="n">
        <x:f>G13/F13-1</x:f>
        <x:v>0.0235294117647058</x:v>
      </x:c>
      <x:c r="H14" s="46" t="n">
        <x:f>H13/G13-1</x:f>
        <x:v>0.02298850574712641</x:v>
      </x:c>
      <x:c r="I14" s="46" t="n">
        <x:f>I13/H13-1</x:f>
        <x:v>0.022471910112359605</x:v>
      </x:c>
      <x:c r="J14" s="46" t="n">
        <x:f>J13/I13-1</x:f>
        <x:v>0.0219780219780219</x:v>
      </x:c>
      <x:c r="K14" s="46" t="n">
        <x:f>K13/J13-1</x:f>
        <x:v>0.021505376344086002</x:v>
      </x:c>
    </x:row>
    <x:row r="15">
      <x:c r="A15" t="str">
        <x:v>Net debt ($bn)</x:v>
      </x:c>
      <x:c r="B15" s="66" t="n">
        <x:v>8.5</x:v>
      </x:c>
      <x:c r="C15" s="66" t="n">
        <x:v>8</x:v>
      </x:c>
      <x:c r="D15" s="66" t="n">
        <x:v>7</x:v>
      </x:c>
      <x:c r="E15" s="66" t="n">
        <x:v>6.5</x:v>
      </x:c>
      <x:c r="F15" s="66" t="n">
        <x:v>6</x:v>
      </x:c>
      <x:c r="G15" s="66" t="n">
        <x:v>5.8</x:v>
      </x:c>
      <x:c r="H15" s="66" t="n">
        <x:v>5.6</x:v>
      </x:c>
      <x:c r="I15" s="66" t="n">
        <x:v>5.4</x:v>
      </x:c>
      <x:c r="J15" s="66" t="n">
        <x:v>5.2</x:v>
      </x:c>
      <x:c r="K15" s="66" t="n">
        <x:v>5</x:v>
      </x:c>
    </x:row>
    <x:row r="16">
      <x:c r="A16" t="str">
        <x:v>Net leverage</x:v>
      </x:c>
      <x:c r="B16" s="78" t="n">
        <x:f>B15/B8</x:f>
        <x:v>1.574074074074074</x:v>
      </x:c>
      <x:c r="C16" s="78" t="n">
        <x:f>C15/C8</x:f>
        <x:v>1.1594202898550725</x:v>
      </x:c>
      <x:c r="D16" s="78" t="n">
        <x:f>D15/D8</x:f>
        <x:v>0.8433734939759036</x:v>
      </x:c>
      <x:c r="E16" s="78" t="n">
        <x:f>E15/E8</x:f>
        <x:v>0.6770833333333334</x:v>
      </x:c>
      <x:c r="F16" s="78" t="n">
        <x:f>F15/F8</x:f>
        <x:v>0.6122448979591836</x:v>
      </x:c>
      <x:c r="G16" s="78" t="n">
        <x:f>G15/G8</x:f>
        <x:v>0.58</x:v>
      </x:c>
      <x:c r="H16" s="78" t="n">
        <x:f>H15/H8</x:f>
        <x:v>0.5544554455445544</x:v>
      </x:c>
      <x:c r="I16" s="78" t="n">
        <x:f>I15/I8</x:f>
        <x:v>0.5294117647058825</x:v>
      </x:c>
      <x:c r="J16" s="78" t="n">
        <x:f>J15/J8</x:f>
        <x:v>0.5048543689320388</x:v>
      </x:c>
      <x:c r="K16" s="78" t="n">
        <x:f>K15/K8</x:f>
        <x:v>0.4807692307692307</x:v>
      </x:c>
    </x:row>
    <x:row r="17">
      <x:c r="A17" t="str">
        <x:v>Equity FCF / ADR ($)</x:v>
      </x:c>
      <x:c r="B17" s="66" t="n">
        <x:f>B11*1000/CapitalStructure!$B$9</x:f>
        <x:v>-0.7627516962053151</x:v>
      </x:c>
      <x:c r="C17" s="66" t="n">
        <x:f>C11*1000/CapitalStructure!$B$9</x:f>
        <x:v>0.7627516962053151</x:v>
      </x:c>
      <x:c r="D17" s="66" t="n">
        <x:f>D11*1000/CapitalStructure!$B$9</x:f>
        <x:v>3.0510067848212605</x:v>
      </x:c>
      <x:c r="E17" s="66" t="n">
        <x:f>E11*1000/CapitalStructure!$B$9</x:f>
        <x:v>4.576510177231891</x:v>
      </x:c>
      <x:c r="F17" s="66" t="n">
        <x:f>F11*1000/CapitalStructure!$B$9</x:f>
        <x:v>5.339261873437206</x:v>
      </x:c>
      <x:c r="G17" s="66" t="n">
        <x:f>G11*1000/CapitalStructure!$B$9</x:f>
        <x:v>5.84776300424075</x:v>
      </x:c>
      <x:c r="H17" s="66" t="n">
        <x:f>H11*1000/CapitalStructure!$B$9</x:f>
        <x:v>6.102013569642521</x:v>
      </x:c>
      <x:c r="I17" s="66" t="n">
        <x:f>I11*1000/CapitalStructure!$B$9</x:f>
        <x:v>6.3562641350442926</x:v>
      </x:c>
      <x:c r="J17" s="66" t="n">
        <x:f>J11*1000/CapitalStructure!$B$9</x:f>
        <x:v>6.610514700446065</x:v>
      </x:c>
      <x:c r="K17" s="66" t="n">
        <x:f>K11*1000/CapitalStructure!$B$9</x:f>
        <x:v>6.864765265847836</x:v>
      </x:c>
    </x:row>
    <x:row r="21">
      <x:c r="A21" s="49" t="str">
        <x:v>Base Scenario</x:v>
      </x:c>
      <x:c r="B21" s="49" t="str">
        <x:v>Base Scenario</x:v>
      </x:c>
      <x:c r="C21" s="49" t="str">
        <x:v>Base Scenario</x:v>
      </x:c>
      <x:c r="D21" s="49" t="str">
        <x:v>Base Scenario</x:v>
      </x:c>
      <x:c r="E21" s="49" t="str">
        <x:v>Base Scenario</x:v>
      </x:c>
      <x:c r="F21" s="49" t="str">
        <x:v>Base Scenario</x:v>
      </x:c>
      <x:c r="G21" s="49" t="str">
        <x:v>Base Scenario</x:v>
      </x:c>
      <x:c r="H21" s="49" t="str">
        <x:v>Base Scenario</x:v>
      </x:c>
      <x:c r="I21" s="49" t="str">
        <x:v>Base Scenario</x:v>
      </x:c>
      <x:c r="J21" s="49" t="str">
        <x:v>Base Scenario</x:v>
      </x:c>
      <x:c r="K21" s="49" t="str">
        <x:v>Base Scenario</x:v>
      </x:c>
    </x:row>
    <x:row r="22">
      <x:c r="A22" t="str">
        <x:v>Brent reference ($/bbl)</x:v>
      </x:c>
      <x:c r="B22" s="84" t="n">
        <x:v>70</x:v>
      </x:c>
      <x:c r="C22" s="84" t="n">
        <x:v>70</x:v>
      </x:c>
      <x:c r="D22" s="84" t="n">
        <x:v>70</x:v>
      </x:c>
      <x:c r="E22" s="84" t="n">
        <x:v>70</x:v>
      </x:c>
      <x:c r="F22" s="84" t="n">
        <x:v>70</x:v>
      </x:c>
      <x:c r="G22" s="84" t="n">
        <x:v>70</x:v>
      </x:c>
      <x:c r="H22" s="84" t="n">
        <x:v>70</x:v>
      </x:c>
      <x:c r="I22" s="84" t="n">
        <x:v>70</x:v>
      </x:c>
      <x:c r="J22" s="84" t="n">
        <x:v>70</x:v>
      </x:c>
      <x:c r="K22" s="84" t="n">
        <x:v>70</x:v>
      </x:c>
    </x:row>
    <x:row r="23">
      <x:c r="A23" t="str">
        <x:v>Revenue ($bn)</x:v>
      </x:c>
      <x:c r="B23" s="56" t="n">
        <x:v>19.5</x:v>
      </x:c>
      <x:c r="C23" s="56" t="n">
        <x:v>21</x:v>
      </x:c>
      <x:c r="D23" s="56" t="n">
        <x:v>23</x:v>
      </x:c>
      <x:c r="E23" s="56" t="n">
        <x:v>25</x:v>
      </x:c>
      <x:c r="F23" s="56" t="n">
        <x:v>26.5</x:v>
      </x:c>
      <x:c r="G23" s="56" t="n">
        <x:v>27.5</x:v>
      </x:c>
      <x:c r="H23" s="56" t="n">
        <x:v>28.3</x:v>
      </x:c>
      <x:c r="I23" s="56" t="n">
        <x:v>29</x:v>
      </x:c>
      <x:c r="J23" s="56" t="n">
        <x:v>29.7</x:v>
      </x:c>
      <x:c r="K23" s="56" t="n">
        <x:v>30.4</x:v>
      </x:c>
    </x:row>
    <x:row r="24">
      <x:c r="A24" t="str">
        <x:v>Adjusted EBITDA ($bn)</x:v>
      </x:c>
      <x:c r="B24" s="56" t="n">
        <x:v>6</x:v>
      </x:c>
      <x:c r="C24" s="56" t="n">
        <x:v>7.8</x:v>
      </x:c>
      <x:c r="D24" s="56" t="n">
        <x:v>9.4</x:v>
      </x:c>
      <x:c r="E24" s="56" t="n">
        <x:v>11</x:v>
      </x:c>
      <x:c r="F24" s="56" t="n">
        <x:v>11.3</x:v>
      </x:c>
      <x:c r="G24" s="56" t="n">
        <x:v>11.5</x:v>
      </x:c>
      <x:c r="H24" s="56" t="n">
        <x:v>11.6</x:v>
      </x:c>
      <x:c r="I24" s="56" t="n">
        <x:v>11.7</x:v>
      </x:c>
      <x:c r="J24" s="56" t="n">
        <x:v>11.8</x:v>
      </x:c>
      <x:c r="K24" s="56" t="n">
        <x:v>11.9</x:v>
      </x:c>
    </x:row>
    <x:row r="25">
      <x:c r="A25" t="str">
        <x:v>EBITDA margin</x:v>
      </x:c>
      <x:c r="B25" s="62" t="n">
        <x:f>B24/B23</x:f>
        <x:v>0.3076923076923077</x:v>
      </x:c>
      <x:c r="C25" s="62" t="n">
        <x:f>C24/C23</x:f>
        <x:v>0.37142857142857144</x:v>
      </x:c>
      <x:c r="D25" s="62" t="n">
        <x:f>D24/D23</x:f>
        <x:v>0.40869565217391307</x:v>
      </x:c>
      <x:c r="E25" s="62" t="n">
        <x:f>E24/E23</x:f>
        <x:v>0.44</x:v>
      </x:c>
      <x:c r="F25" s="62" t="n">
        <x:f>F24/F23</x:f>
        <x:v>0.42641509433962266</x:v>
      </x:c>
      <x:c r="G25" s="62" t="n">
        <x:f>G24/G23</x:f>
        <x:v>0.41818181818181815</x:v>
      </x:c>
      <x:c r="H25" s="62" t="n">
        <x:f>H24/H23</x:f>
        <x:v>0.40989399293286216</x:v>
      </x:c>
      <x:c r="I25" s="62" t="n">
        <x:f>I24/I23</x:f>
        <x:v>0.40344827586206894</x:v>
      </x:c>
      <x:c r="J25" s="62" t="n">
        <x:f>J24/J23</x:f>
        <x:v>0.39730639730639733</x:v>
      </x:c>
      <x:c r="K25" s="62" t="n">
        <x:f>K24/K23</x:f>
        <x:v>0.39144736842105265</x:v>
      </x:c>
    </x:row>
    <x:row r="26">
      <x:c r="A26" t="str">
        <x:v>CAPEX ($bn)</x:v>
      </x:c>
      <x:c r="B26" s="60" t="n">
        <x:v>5.65</x:v>
      </x:c>
      <x:c r="C26" s="60" t="n">
        <x:v>5.4</x:v>
      </x:c>
      <x:c r="D26" s="60" t="n">
        <x:v>5.6</x:v>
      </x:c>
      <x:c r="E26" s="60" t="n">
        <x:v>5.9</x:v>
      </x:c>
      <x:c r="F26" s="60" t="n">
        <x:v>4.7</x:v>
      </x:c>
      <x:c r="G26" s="60" t="n">
        <x:v>4.5</x:v>
      </x:c>
      <x:c r="H26" s="60" t="n">
        <x:v>4.4</x:v>
      </x:c>
      <x:c r="I26" s="60" t="n">
        <x:v>4.3</x:v>
      </x:c>
      <x:c r="J26" s="60" t="n">
        <x:v>4.3</x:v>
      </x:c>
      <x:c r="K26" s="60" t="n">
        <x:v>4.3</x:v>
      </x:c>
    </x:row>
    <x:row r="27">
      <x:c r="A27" t="str">
        <x:v>Free cash flow ($bn)</x:v>
      </x:c>
      <x:c r="B27" s="60" t="n">
        <x:v>0.5</x:v>
      </x:c>
      <x:c r="C27" s="60" t="n">
        <x:v>1.3</x:v>
      </x:c>
      <x:c r="D27" s="60" t="n">
        <x:v>2.4</x:v>
      </x:c>
      <x:c r="E27" s="60" t="n">
        <x:v>3.1</x:v>
      </x:c>
      <x:c r="F27" s="60" t="n">
        <x:v>3.6</x:v>
      </x:c>
      <x:c r="G27" s="60" t="n">
        <x:v>3.9</x:v>
      </x:c>
      <x:c r="H27" s="60" t="n">
        <x:v>4.1</x:v>
      </x:c>
      <x:c r="I27" s="60" t="n">
        <x:v>4.3</x:v>
      </x:c>
      <x:c r="J27" s="60" t="n">
        <x:v>4.4</x:v>
      </x:c>
      <x:c r="K27" s="60" t="n">
        <x:v>4.5</x:v>
      </x:c>
    </x:row>
    <x:row r="28">
      <x:c r="A28" t="str">
        <x:v>FCF margin</x:v>
      </x:c>
      <x:c r="B28" s="62" t="n">
        <x:f>B27/B23</x:f>
        <x:v>0.02564102564102564</x:v>
      </x:c>
      <x:c r="C28" s="62" t="n">
        <x:f>C27/C23</x:f>
        <x:v>0.06190476190476191</x:v>
      </x:c>
      <x:c r="D28" s="62" t="n">
        <x:f>D27/D23</x:f>
        <x:v>0.10434782608695652</x:v>
      </x:c>
      <x:c r="E28" s="62" t="n">
        <x:f>E27/E23</x:f>
        <x:v>0.124</x:v>
      </x:c>
      <x:c r="F28" s="62" t="n">
        <x:f>F27/F23</x:f>
        <x:v>0.13584905660377358</x:v>
      </x:c>
      <x:c r="G28" s="62" t="n">
        <x:f>G27/G23</x:f>
        <x:v>0.14181818181818182</x:v>
      </x:c>
      <x:c r="H28" s="62" t="n">
        <x:f>H27/H23</x:f>
        <x:v>0.1448763250883392</x:v>
      </x:c>
      <x:c r="I28" s="62" t="n">
        <x:f>I27/I23</x:f>
        <x:v>0.1482758620689655</x:v>
      </x:c>
      <x:c r="J28" s="62" t="n">
        <x:f>J27/J23</x:f>
        <x:v>0.14814814814814817</x:v>
      </x:c>
      <x:c r="K28" s="62" t="n">
        <x:f>K27/K23</x:f>
        <x:v>0.1480263157894737</x:v>
      </x:c>
    </x:row>
    <x:row r="29">
      <x:c r="A29" t="str">
        <x:v>Shale oil production (kbbl/d)</x:v>
      </x:c>
      <x:c r="B29" s="86" t="n">
        <x:v>215</x:v>
      </x:c>
      <x:c r="C29" s="86" t="n">
        <x:v>290</x:v>
      </x:c>
      <x:c r="D29" s="86" t="n">
        <x:v>375</x:v>
      </x:c>
      <x:c r="E29" s="86" t="n">
        <x:v>445</x:v>
      </x:c>
      <x:c r="F29" s="86" t="n">
        <x:v>470</x:v>
      </x:c>
      <x:c r="G29" s="86" t="n">
        <x:v>485</x:v>
      </x:c>
      <x:c r="H29" s="86" t="n">
        <x:v>500</x:v>
      </x:c>
      <x:c r="I29" s="86" t="n">
        <x:v>510</x:v>
      </x:c>
      <x:c r="J29" s="86" t="n">
        <x:v>520</x:v>
      </x:c>
      <x:c r="K29" s="86" t="n">
        <x:v>530</x:v>
      </x:c>
    </x:row>
    <x:row r="30">
      <x:c r="A30" t="str">
        <x:v>YoY shale growth</x:v>
      </x:c>
      <x:c r="B30" s="46"/>
      <x:c r="C30" s="46" t="n">
        <x:f>C29/B29-1</x:f>
        <x:v>0.34883720930232553</x:v>
      </x:c>
      <x:c r="D30" s="46" t="n">
        <x:f>D29/C29-1</x:f>
        <x:v>0.2931034482758621</x:v>
      </x:c>
      <x:c r="E30" s="46" t="n">
        <x:f>E29/D29-1</x:f>
        <x:v>0.18666666666666676</x:v>
      </x:c>
      <x:c r="F30" s="46" t="n">
        <x:f>F29/E29-1</x:f>
        <x:v>0.05617977528089879</x:v>
      </x:c>
      <x:c r="G30" s="46" t="n">
        <x:f>G29/F29-1</x:f>
        <x:v>0.03191489361702127</x:v>
      </x:c>
      <x:c r="H30" s="46" t="n">
        <x:f>H29/G29-1</x:f>
        <x:v>0.030927835051546282</x:v>
      </x:c>
      <x:c r="I30" s="46" t="n">
        <x:f>I29/H29-1</x:f>
        <x:v>0.020000000000000018</x:v>
      </x:c>
      <x:c r="J30" s="46" t="n">
        <x:f>J29/I29-1</x:f>
        <x:v>0.019607843137254832</x:v>
      </x:c>
      <x:c r="K30" s="46" t="n">
        <x:f>K29/J29-1</x:f>
        <x:v>0.019230769230769162</x:v>
      </x:c>
    </x:row>
    <x:row r="31">
      <x:c r="A31" t="str">
        <x:v>Net debt ($bn)</x:v>
      </x:c>
      <x:c r="B31" s="60" t="n">
        <x:v>7.8</x:v>
      </x:c>
      <x:c r="C31" s="60" t="n">
        <x:v>6.2</x:v>
      </x:c>
      <x:c r="D31" s="60" t="n">
        <x:v>3.8</x:v>
      </x:c>
      <x:c r="E31" s="60" t="n">
        <x:v>1.8</x:v>
      </x:c>
      <x:c r="F31" s="60" t="n">
        <x:v>1.2</x:v>
      </x:c>
      <x:c r="G31" s="60" t="n">
        <x:v>0.8</x:v>
      </x:c>
      <x:c r="H31" s="60" t="n">
        <x:v>0.5</x:v>
      </x:c>
      <x:c r="I31" s="60" t="n">
        <x:v>0.3</x:v>
      </x:c>
      <x:c r="J31" s="60" t="n">
        <x:v>0.2</x:v>
      </x:c>
      <x:c r="K31" s="60" t="n">
        <x:v>0.1</x:v>
      </x:c>
    </x:row>
    <x:row r="32">
      <x:c r="A32" t="str">
        <x:v>Net leverage</x:v>
      </x:c>
      <x:c r="B32" s="78" t="n">
        <x:f>B31/B24</x:f>
        <x:v>1.3</x:v>
      </x:c>
      <x:c r="C32" s="78" t="n">
        <x:f>C31/C24</x:f>
        <x:v>0.7948717948717949</x:v>
      </x:c>
      <x:c r="D32" s="78" t="n">
        <x:f>D31/D24</x:f>
        <x:v>0.40425531914893614</x:v>
      </x:c>
      <x:c r="E32" s="78" t="n">
        <x:f>E31/E24</x:f>
        <x:v>0.16363636363636364</x:v>
      </x:c>
      <x:c r="F32" s="78" t="n">
        <x:f>F31/F24</x:f>
        <x:v>0.10619469026548671</x:v>
      </x:c>
      <x:c r="G32" s="78" t="n">
        <x:f>G31/G24</x:f>
        <x:v>0.06956521739130435</x:v>
      </x:c>
      <x:c r="H32" s="78" t="n">
        <x:f>H31/H24</x:f>
        <x:v>0.04310344827586207</x:v>
      </x:c>
      <x:c r="I32" s="78" t="n">
        <x:f>I31/I24</x:f>
        <x:v>0.02564102564102564</x:v>
      </x:c>
      <x:c r="J32" s="78" t="n">
        <x:f>J31/J24</x:f>
        <x:v>0.01694915254237288</x:v>
      </x:c>
      <x:c r="K32" s="78" t="n">
        <x:f>K31/K24</x:f>
        <x:v>0.008403361344537815</x:v>
      </x:c>
    </x:row>
    <x:row r="33">
      <x:c r="A33" t="str">
        <x:v>Equity FCF / ADR ($)</x:v>
      </x:c>
      <x:c r="B33" s="66" t="n">
        <x:f>B27*1000/CapitalStructure!$B$9</x:f>
        <x:v>1.2712528270088586</x:v>
      </x:c>
      <x:c r="C33" s="66" t="n">
        <x:f>C27*1000/CapitalStructure!$B$9</x:f>
        <x:v>3.3052573502230325</x:v>
      </x:c>
      <x:c r="D33" s="66" t="n">
        <x:f>D27*1000/CapitalStructure!$B$9</x:f>
        <x:v>6.102013569642521</x:v>
      </x:c>
      <x:c r="E33" s="66" t="n">
        <x:f>E27*1000/CapitalStructure!$B$9</x:f>
        <x:v>7.881767527454923</x:v>
      </x:c>
      <x:c r="F33" s="66" t="n">
        <x:f>F27*1000/CapitalStructure!$B$9</x:f>
        <x:v>9.153020354463782</x:v>
      </x:c>
      <x:c r="G33" s="66" t="n">
        <x:f>G27*1000/CapitalStructure!$B$9</x:f>
        <x:v>9.915772050669096</x:v>
      </x:c>
      <x:c r="H33" s="66" t="n">
        <x:f>H27*1000/CapitalStructure!$B$9</x:f>
        <x:v>10.42427318147264</x:v>
      </x:c>
      <x:c r="I33" s="66" t="n">
        <x:f>I27*1000/CapitalStructure!$B$9</x:f>
        <x:v>10.932774312276184</x:v>
      </x:c>
      <x:c r="J33" s="66" t="n">
        <x:f>J27*1000/CapitalStructure!$B$9</x:f>
        <x:v>11.187024877677956</x:v>
      </x:c>
      <x:c r="K33" s="66" t="n">
        <x:f>K27*1000/CapitalStructure!$B$9</x:f>
        <x:v>11.441275443079727</x:v>
      </x:c>
    </x:row>
    <x:row r="37">
      <x:c r="A37" s="49" t="str">
        <x:v>Bull Scenario</x:v>
      </x:c>
      <x:c r="B37" s="49" t="str">
        <x:v>Bull Scenario</x:v>
      </x:c>
      <x:c r="C37" s="49" t="str">
        <x:v>Bull Scenario</x:v>
      </x:c>
      <x:c r="D37" s="49" t="str">
        <x:v>Bull Scenario</x:v>
      </x:c>
      <x:c r="E37" s="49" t="str">
        <x:v>Bull Scenario</x:v>
      </x:c>
      <x:c r="F37" s="49" t="str">
        <x:v>Bull Scenario</x:v>
      </x:c>
      <x:c r="G37" s="49" t="str">
        <x:v>Bull Scenario</x:v>
      </x:c>
      <x:c r="H37" s="49" t="str">
        <x:v>Bull Scenario</x:v>
      </x:c>
      <x:c r="I37" s="49" t="str">
        <x:v>Bull Scenario</x:v>
      </x:c>
      <x:c r="J37" s="49" t="str">
        <x:v>Bull Scenario</x:v>
      </x:c>
      <x:c r="K37" s="49" t="str">
        <x:v>Bull Scenario</x:v>
      </x:c>
    </x:row>
    <x:row r="38">
      <x:c r="A38" t="str">
        <x:v>Brent reference ($/bbl)</x:v>
      </x:c>
      <x:c r="B38" s="40" t="n">
        <x:v>80</x:v>
      </x:c>
      <x:c r="C38" s="40" t="n">
        <x:v>80</x:v>
      </x:c>
      <x:c r="D38" s="40" t="n">
        <x:v>80</x:v>
      </x:c>
      <x:c r="E38" s="40" t="n">
        <x:v>80</x:v>
      </x:c>
      <x:c r="F38" s="40" t="n">
        <x:v>80</x:v>
      </x:c>
      <x:c r="G38" s="40" t="n">
        <x:v>80</x:v>
      </x:c>
      <x:c r="H38" s="40" t="n">
        <x:v>80</x:v>
      </x:c>
      <x:c r="I38" s="40" t="n">
        <x:v>80</x:v>
      </x:c>
      <x:c r="J38" s="40" t="n">
        <x:v>80</x:v>
      </x:c>
      <x:c r="K38" s="40" t="n">
        <x:v>80</x:v>
      </x:c>
    </x:row>
    <x:row r="39">
      <x:c r="A39" t="str">
        <x:v>Revenue ($bn)</x:v>
      </x:c>
      <x:c r="B39" s="32" t="n">
        <x:v>21</x:v>
      </x:c>
      <x:c r="C39" s="32" t="n">
        <x:v>23</x:v>
      </x:c>
      <x:c r="D39" s="32" t="n">
        <x:v>25.5</x:v>
      </x:c>
      <x:c r="E39" s="32" t="n">
        <x:v>28</x:v>
      </x:c>
      <x:c r="F39" s="32" t="n">
        <x:v>30</x:v>
      </x:c>
      <x:c r="G39" s="32" t="n">
        <x:v>31.5</x:v>
      </x:c>
      <x:c r="H39" s="32" t="n">
        <x:v>32.8</x:v>
      </x:c>
      <x:c r="I39" s="32" t="n">
        <x:v>34</x:v>
      </x:c>
      <x:c r="J39" s="32" t="n">
        <x:v>35.2</x:v>
      </x:c>
      <x:c r="K39" s="32" t="n">
        <x:v>36.4</x:v>
      </x:c>
    </x:row>
    <x:row r="40">
      <x:c r="A40" t="str">
        <x:v>Adjusted EBITDA ($bn)</x:v>
      </x:c>
      <x:c r="B40" s="32" t="n">
        <x:v>7</x:v>
      </x:c>
      <x:c r="C40" s="32" t="n">
        <x:v>8.8</x:v>
      </x:c>
      <x:c r="D40" s="32" t="n">
        <x:v>10.6</x:v>
      </x:c>
      <x:c r="E40" s="32" t="n">
        <x:v>12.3</x:v>
      </x:c>
      <x:c r="F40" s="32" t="n">
        <x:v>13</x:v>
      </x:c>
      <x:c r="G40" s="32" t="n">
        <x:v>13.5</x:v>
      </x:c>
      <x:c r="H40" s="32" t="n">
        <x:v>13.8</x:v>
      </x:c>
      <x:c r="I40" s="32" t="n">
        <x:v>14.1</x:v>
      </x:c>
      <x:c r="J40" s="32" t="n">
        <x:v>14.4</x:v>
      </x:c>
      <x:c r="K40" s="32" t="n">
        <x:v>14.7</x:v>
      </x:c>
    </x:row>
    <x:row r="41">
      <x:c r="A41" t="str">
        <x:v>EBITDA margin</x:v>
      </x:c>
      <x:c r="B41" s="46" t="n">
        <x:f>B40/B39</x:f>
        <x:v>0.3333333333333333</x:v>
      </x:c>
      <x:c r="C41" s="46" t="n">
        <x:f>C40/C39</x:f>
        <x:v>0.3826086956521739</x:v>
      </x:c>
      <x:c r="D41" s="46" t="n">
        <x:f>D40/D39</x:f>
        <x:v>0.4156862745098039</x:v>
      </x:c>
      <x:c r="E41" s="46" t="n">
        <x:f>E40/E39</x:f>
        <x:v>0.43928571428571433</x:v>
      </x:c>
      <x:c r="F41" s="46" t="n">
        <x:f>F40/F39</x:f>
        <x:v>0.43333333333333335</x:v>
      </x:c>
      <x:c r="G41" s="46" t="n">
        <x:f>G40/G39</x:f>
        <x:v>0.42857142857142855</x:v>
      </x:c>
      <x:c r="H41" s="46" t="n">
        <x:f>H40/H39</x:f>
        <x:v>0.4207317073170732</x:v>
      </x:c>
      <x:c r="I41" s="46" t="n">
        <x:f>I40/I39</x:f>
        <x:v>0.41470588235294115</x:v>
      </x:c>
      <x:c r="J41" s="46" t="n">
        <x:f>J40/J39</x:f>
        <x:v>0.40909090909090906</x:v>
      </x:c>
      <x:c r="K41" s="46" t="n">
        <x:f>K40/K39</x:f>
        <x:v>0.40384615384615385</x:v>
      </x:c>
    </x:row>
    <x:row r="42">
      <x:c r="A42" t="str">
        <x:v>CAPEX ($bn)</x:v>
      </x:c>
      <x:c r="B42" s="66" t="n">
        <x:v>5.7</x:v>
      </x:c>
      <x:c r="C42" s="66" t="n">
        <x:v>5.6</x:v>
      </x:c>
      <x:c r="D42" s="66" t="n">
        <x:v>5.8</x:v>
      </x:c>
      <x:c r="E42" s="66" t="n">
        <x:v>6</x:v>
      </x:c>
      <x:c r="F42" s="66" t="n">
        <x:v>5</x:v>
      </x:c>
      <x:c r="G42" s="66" t="n">
        <x:v>4.8</x:v>
      </x:c>
      <x:c r="H42" s="66" t="n">
        <x:v>4.7</x:v>
      </x:c>
      <x:c r="I42" s="66" t="n">
        <x:v>4.6</x:v>
      </x:c>
      <x:c r="J42" s="66" t="n">
        <x:v>4.6</x:v>
      </x:c>
      <x:c r="K42" s="66" t="n">
        <x:v>4.6</x:v>
      </x:c>
    </x:row>
    <x:row r="43">
      <x:c r="A43" t="str">
        <x:v>Free cash flow ($bn)</x:v>
      </x:c>
      <x:c r="B43" s="66" t="n">
        <x:v>1.3</x:v>
      </x:c>
      <x:c r="C43" s="66" t="n">
        <x:v>2.3</x:v>
      </x:c>
      <x:c r="D43" s="66" t="n">
        <x:v>3.6</x:v>
      </x:c>
      <x:c r="E43" s="66" t="n">
        <x:v>4.4</x:v>
      </x:c>
      <x:c r="F43" s="66" t="n">
        <x:v>5</x:v>
      </x:c>
      <x:c r="G43" s="66" t="n">
        <x:v>5.5</x:v>
      </x:c>
      <x:c r="H43" s="66" t="n">
        <x:v>5.8</x:v>
      </x:c>
      <x:c r="I43" s="66" t="n">
        <x:v>6</x:v>
      </x:c>
      <x:c r="J43" s="66" t="n">
        <x:v>6.2</x:v>
      </x:c>
      <x:c r="K43" s="66" t="n">
        <x:v>6.4</x:v>
      </x:c>
    </x:row>
    <x:row r="44">
      <x:c r="A44" t="str">
        <x:v>FCF margin</x:v>
      </x:c>
      <x:c r="B44" s="46" t="n">
        <x:f>B43/B39</x:f>
        <x:v>0.06190476190476191</x:v>
      </x:c>
      <x:c r="C44" s="46" t="n">
        <x:f>C43/C39</x:f>
        <x:v>0.09999999999999999</x:v>
      </x:c>
      <x:c r="D44" s="46" t="n">
        <x:f>D43/D39</x:f>
        <x:v>0.1411764705882353</x:v>
      </x:c>
      <x:c r="E44" s="46" t="n">
        <x:f>E43/E39</x:f>
        <x:v>0.15714285714285717</x:v>
      </x:c>
      <x:c r="F44" s="46" t="n">
        <x:f>F43/F39</x:f>
        <x:v>0.16666666666666666</x:v>
      </x:c>
      <x:c r="G44" s="46" t="n">
        <x:f>G43/G39</x:f>
        <x:v>0.1746031746031746</x:v>
      </x:c>
      <x:c r="H44" s="46" t="n">
        <x:f>H43/H39</x:f>
        <x:v>0.17682926829268295</x:v>
      </x:c>
      <x:c r="I44" s="46" t="n">
        <x:f>I43/I39</x:f>
        <x:v>0.17647058823529413</x:v>
      </x:c>
      <x:c r="J44" s="46" t="n">
        <x:f>J43/J39</x:f>
        <x:v>0.17613636363636362</x:v>
      </x:c>
      <x:c r="K44" s="46" t="n">
        <x:f>K43/K39</x:f>
        <x:v>0.17582417582417584</x:v>
      </x:c>
    </x:row>
    <x:row r="45">
      <x:c r="A45" t="str">
        <x:v>Shale oil production (kbbl/d)</x:v>
      </x:c>
      <x:c r="B45" s="82" t="n">
        <x:v>225</x:v>
      </x:c>
      <x:c r="C45" s="82" t="n">
        <x:v>310</x:v>
      </x:c>
      <x:c r="D45" s="82" t="n">
        <x:v>410</x:v>
      </x:c>
      <x:c r="E45" s="82" t="n">
        <x:v>485</x:v>
      </x:c>
      <x:c r="F45" s="82" t="n">
        <x:v>515</x:v>
      </x:c>
      <x:c r="G45" s="82" t="n">
        <x:v>540</x:v>
      </x:c>
      <x:c r="H45" s="82" t="n">
        <x:v>560</x:v>
      </x:c>
      <x:c r="I45" s="82" t="n">
        <x:v>580</x:v>
      </x:c>
      <x:c r="J45" s="82" t="n">
        <x:v>600</x:v>
      </x:c>
      <x:c r="K45" s="82" t="n">
        <x:v>620</x:v>
      </x:c>
    </x:row>
    <x:row r="46">
      <x:c r="A46" t="str">
        <x:v>YoY shale growth</x:v>
      </x:c>
      <x:c r="B46" s="46"/>
      <x:c r="C46" s="46" t="n">
        <x:f>C45/B45-1</x:f>
        <x:v>0.37777777777777777</x:v>
      </x:c>
      <x:c r="D46" s="46" t="n">
        <x:f>D45/C45-1</x:f>
        <x:v>0.32258064516129026</x:v>
      </x:c>
      <x:c r="E46" s="46" t="n">
        <x:f>E45/D45-1</x:f>
        <x:v>0.18292682926829262</x:v>
      </x:c>
      <x:c r="F46" s="46" t="n">
        <x:f>F45/E45-1</x:f>
        <x:v>0.061855670103092786</x:v>
      </x:c>
      <x:c r="G46" s="46" t="n">
        <x:f>G45/F45-1</x:f>
        <x:v>0.04854368932038833</x:v>
      </x:c>
      <x:c r="H46" s="46" t="n">
        <x:f>H45/G45-1</x:f>
        <x:v>0.03703703703703698</x:v>
      </x:c>
      <x:c r="I46" s="46" t="n">
        <x:f>I45/H45-1</x:f>
        <x:v>0.03571428571428581</x:v>
      </x:c>
      <x:c r="J46" s="46" t="n">
        <x:f>J45/I45-1</x:f>
        <x:v>0.034482758620689724</x:v>
      </x:c>
      <x:c r="K46" s="46" t="n">
        <x:f>K45/J45-1</x:f>
        <x:v>0.03333333333333344</x:v>
      </x:c>
    </x:row>
    <x:row r="47">
      <x:c r="A47" t="str">
        <x:v>Net debt ($bn)</x:v>
      </x:c>
      <x:c r="B47" s="66" t="n">
        <x:v>7</x:v>
      </x:c>
      <x:c r="C47" s="66" t="n">
        <x:v>4.5</x:v>
      </x:c>
      <x:c r="D47" s="66" t="n">
        <x:v>2</x:v>
      </x:c>
      <x:c r="E47" s="66" t="n">
        <x:v>0.8</x:v>
      </x:c>
      <x:c r="F47" s="66" t="n">
        <x:v>0.5</x:v>
      </x:c>
      <x:c r="G47" s="66" t="n">
        <x:v>0.2</x:v>
      </x:c>
      <x:c r="H47" s="66" t="n">
        <x:v>0</x:v>
      </x:c>
      <x:c r="I47" s="66" t="n">
        <x:v>-0.5</x:v>
      </x:c>
      <x:c r="J47" s="66" t="n">
        <x:v>-1</x:v>
      </x:c>
      <x:c r="K47" s="66" t="n">
        <x:v>-1.5</x:v>
      </x:c>
    </x:row>
    <x:row r="48">
      <x:c r="A48" t="str">
        <x:v>Net leverage</x:v>
      </x:c>
      <x:c r="B48" s="78" t="n">
        <x:f>B47/B40</x:f>
        <x:v>1</x:v>
      </x:c>
      <x:c r="C48" s="78" t="n">
        <x:f>C47/C40</x:f>
        <x:v>0.5113636363636364</x:v>
      </x:c>
      <x:c r="D48" s="78" t="n">
        <x:f>D47/D40</x:f>
        <x:v>0.18867924528301888</x:v>
      </x:c>
      <x:c r="E48" s="78" t="n">
        <x:f>E47/E40</x:f>
        <x:v>0.06504065040650406</x:v>
      </x:c>
      <x:c r="F48" s="78" t="n">
        <x:f>F47/F40</x:f>
        <x:v>0.038461538461538464</x:v>
      </x:c>
      <x:c r="G48" s="78" t="n">
        <x:f>G47/G40</x:f>
        <x:v>0.014814814814814815</x:v>
      </x:c>
      <x:c r="H48" s="78" t="n">
        <x:f>H47/H40</x:f>
        <x:v>0</x:v>
      </x:c>
      <x:c r="I48" s="78" t="n">
        <x:f>I47/I40</x:f>
        <x:v>-0.03546099290780142</x:v>
      </x:c>
      <x:c r="J48" s="78" t="n">
        <x:f>J47/J40</x:f>
        <x:v>-0.06944444444444445</x:v>
      </x:c>
      <x:c r="K48" s="78" t="n">
        <x:f>K47/K40</x:f>
        <x:v>-0.10204081632653061</x:v>
      </x:c>
    </x:row>
    <x:row r="49">
      <x:c r="A49" t="str">
        <x:v>Equity FCF / ADR ($)</x:v>
      </x:c>
      <x:c r="B49" s="66" t="n">
        <x:f>B43*1000/CapitalStructure!$B$9</x:f>
        <x:v>3.3052573502230325</x:v>
      </x:c>
      <x:c r="C49" s="66" t="n">
        <x:f>C43*1000/CapitalStructure!$B$9</x:f>
        <x:v>5.84776300424075</x:v>
      </x:c>
      <x:c r="D49" s="66" t="n">
        <x:f>D43*1000/CapitalStructure!$B$9</x:f>
        <x:v>9.153020354463782</x:v>
      </x:c>
      <x:c r="E49" s="66" t="n">
        <x:f>E43*1000/CapitalStructure!$B$9</x:f>
        <x:v>11.187024877677956</x:v>
      </x:c>
      <x:c r="F49" s="66" t="n">
        <x:f>F43*1000/CapitalStructure!$B$9</x:f>
        <x:v>12.712528270088585</x:v>
      </x:c>
      <x:c r="G49" s="66" t="n">
        <x:f>G43*1000/CapitalStructure!$B$9</x:f>
        <x:v>13.983781097097443</x:v>
      </x:c>
      <x:c r="H49" s="66" t="n">
        <x:f>H43*1000/CapitalStructure!$B$9</x:f>
        <x:v>14.746532793302759</x:v>
      </x:c>
      <x:c r="I49" s="66" t="n">
        <x:f>I43*1000/CapitalStructure!$B$9</x:f>
        <x:v>15.255033924106304</x:v>
      </x:c>
      <x:c r="J49" s="66" t="n">
        <x:f>J43*1000/CapitalStructure!$B$9</x:f>
        <x:v>15.763535054909847</x:v>
      </x:c>
      <x:c r="K49" s="66" t="n">
        <x:f>K43*1000/CapitalStructure!$B$9</x:f>
        <x:v>16.27203618571339</x:v>
      </x:c>
    </x:row>
  </x:sheetData>
  <x:mergeCells>
    <x:mergeCell ref="A1:K1"/>
    <x:mergeCell ref="A2:K2"/>
    <x:mergeCell ref="A5:K5"/>
    <x:mergeCell ref="A21:K21"/>
    <x:mergeCell ref="A37:K3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4" t="str">
        <x:v>Asset SOTP — Reserves + Mid/Downstream + LNG Optionality</x:v>
      </x:c>
      <x:c r="B1" s="4"/>
      <x:c r="C1" s="4"/>
      <x:c r="D1" s="4"/>
      <x:c r="E1" s="4"/>
    </x:row>
    <x:row r="2" ht="30" customHeight="1">
      <x:c r="A2" s="10" t="str">
        <x:v>Reserve valuation anchors Upstream; Midstream &amp; Downstream is valued on normalized EBITDA. Country/state risk is embedded via conservative reserve values and multiples.</x:v>
      </x:c>
      <x:c r="B2" s="10"/>
      <x:c r="C2" s="10"/>
      <x:c r="D2" s="10"/>
      <x:c r="E2" s="10"/>
    </x:row>
    <x:row r="4">
      <x:c r="A4" s="19" t="str">
        <x:v>Metric</x:v>
      </x:c>
      <x:c r="B4" s="19" t="str">
        <x:v>Bear</x:v>
      </x:c>
      <x:c r="C4" s="19" t="str">
        <x:v>Base</x:v>
      </x:c>
      <x:c r="D4" s="19" t="str">
        <x:v>Bull</x:v>
      </x:c>
    </x:row>
    <x:row r="5">
      <x:c r="A5" t="str">
        <x:v>Proved reserves (Bboe)</x:v>
      </x:c>
      <x:c r="B5" s="92" t="n">
        <x:v>1.284</x:v>
      </x:c>
      <x:c r="C5" s="92" t="n">
        <x:v>1.284</x:v>
      </x:c>
      <x:c r="D5" s="92" t="n">
        <x:v>1.284</x:v>
      </x:c>
    </x:row>
    <x:row r="6">
      <x:c r="A6" t="str">
        <x:v>Upstream EV / proved boe ($)</x:v>
      </x:c>
      <x:c r="B6" s="84" t="n">
        <x:v>14</x:v>
      </x:c>
      <x:c r="C6" s="84" t="n">
        <x:v>20</x:v>
      </x:c>
      <x:c r="D6" s="84" t="n">
        <x:v>28</x:v>
      </x:c>
    </x:row>
    <x:row r="7">
      <x:c r="A7" t="str">
        <x:v>Upstream reserve value ($bn)</x:v>
      </x:c>
      <x:c r="B7" s="66" t="n">
        <x:f>B5*B6</x:f>
        <x:v>17.976</x:v>
      </x:c>
      <x:c r="C7" s="66" t="n">
        <x:f>C5*C6</x:f>
        <x:v>25.68</x:v>
      </x:c>
      <x:c r="D7" s="66" t="n">
        <x:f>D5*D6</x:f>
        <x:v>35.952</x:v>
      </x:c>
    </x:row>
    <x:row r="8">
      <x:c r="A8" t="str">
        <x:v>Normalized M&amp;D EBITDA ($bn)</x:v>
      </x:c>
      <x:c r="B8" s="60" t="n">
        <x:v>2</x:v>
      </x:c>
      <x:c r="C8" s="60" t="n">
        <x:v>2.4</x:v>
      </x:c>
      <x:c r="D8" s="60" t="n">
        <x:v>2.8</x:v>
      </x:c>
    </x:row>
    <x:row r="9">
      <x:c r="A9" t="str">
        <x:v>M&amp;D EV / EBITDA multiple</x:v>
      </x:c>
      <x:c r="B9" s="94" t="n">
        <x:v>3.5</x:v>
      </x:c>
      <x:c r="C9" s="94" t="n">
        <x:v>4.5</x:v>
      </x:c>
      <x:c r="D9" s="94" t="n">
        <x:v>5.5</x:v>
      </x:c>
    </x:row>
    <x:row r="10">
      <x:c r="A10" t="str">
        <x:v>M&amp;D enterprise value ($bn)</x:v>
      </x:c>
      <x:c r="B10" s="66" t="n">
        <x:f>B8*B9</x:f>
        <x:v>7</x:v>
      </x:c>
      <x:c r="C10" s="66" t="n">
        <x:f>C8*C9</x:f>
        <x:v>10.799999999999999</x:v>
      </x:c>
      <x:c r="D10" s="66" t="n">
        <x:f>D8*D9</x:f>
        <x:v>15.399999999999999</x:v>
      </x:c>
    </x:row>
    <x:row r="11">
      <x:c r="A11" t="str">
        <x:v>New energy / other asset value ($bn)</x:v>
      </x:c>
      <x:c r="B11" s="60" t="n">
        <x:v>0.5</x:v>
      </x:c>
      <x:c r="C11" s="60" t="n">
        <x:v>1</x:v>
      </x:c>
      <x:c r="D11" s="60" t="n">
        <x:v>1.5</x:v>
      </x:c>
    </x:row>
    <x:row r="12">
      <x:c r="A12" t="str">
        <x:v>LNG option PV ($bn)</x:v>
      </x:c>
      <x:c r="B12" s="96" t="n">
        <x:f>Optionality!B13</x:f>
        <x:v>0.057944397558411374</x:v>
      </x:c>
      <x:c r="C12" s="96" t="n">
        <x:f>Optionality!C13</x:f>
        <x:v>0.4728131890029909</x:v>
      </x:c>
      <x:c r="D12" s="96" t="n">
        <x:f>Optionality!D13</x:f>
        <x:v>1.6871334797992004</x:v>
      </x:c>
    </x:row>
    <x:row r="13">
      <x:c r="A13" t="str">
        <x:v>Capitalized corporate drag ($bn)</x:v>
      </x:c>
      <x:c r="B13" s="60" t="n">
        <x:v>-2</x:v>
      </x:c>
      <x:c r="C13" s="60" t="n">
        <x:v>-1.8</x:v>
      </x:c>
      <x:c r="D13" s="60" t="n">
        <x:v>-1.5</x:v>
      </x:c>
    </x:row>
    <x:row r="14">
      <x:c r="A14" t="str">
        <x:v>Current net debt ($bn)</x:v>
      </x:c>
      <x:c r="B14" s="97" t="n">
        <x:f>CapitalStructure!$B$7</x:f>
        <x:v>8.425</x:v>
      </x:c>
      <x:c r="C14" s="97" t="n">
        <x:f>CapitalStructure!$B$7</x:f>
        <x:v>8.425</x:v>
      </x:c>
      <x:c r="D14" s="97" t="n">
        <x:f>CapitalStructure!$B$7</x:f>
        <x:v>8.425</x:v>
      </x:c>
    </x:row>
    <x:row r="15">
      <x:c r="A15" t="str">
        <x:v>Equity value ($bn)</x:v>
      </x:c>
      <x:c r="B15" s="97" t="n">
        <x:f>B7+B10+B11+B12+B13-B14</x:f>
        <x:v>15.10894439755841</x:v>
      </x:c>
      <x:c r="C15" s="97" t="n">
        <x:f>C7+C10+C11+C12+C13-C14</x:f>
        <x:v>27.72781318900299</x:v>
      </x:c>
      <x:c r="D15" s="97" t="n">
        <x:f>D7+D10+D11+D12+D13-D14</x:f>
        <x:v>44.61413347979919</x:v>
      </x:c>
    </x:row>
    <x:row r="16">
      <x:c r="A16" t="str">
        <x:v>ADR-equivalent shares (mm)</x:v>
      </x:c>
      <x:c r="B16" s="100" t="n">
        <x:f>CapitalStructure!$B$9</x:f>
        <x:v>393.312793</x:v>
      </x:c>
      <x:c r="C16" s="100" t="n">
        <x:f>CapitalStructure!$B$9</x:f>
        <x:v>393.312793</x:v>
      </x:c>
      <x:c r="D16" s="100" t="n">
        <x:f>CapitalStructure!$B$9</x:f>
        <x:v>393.312793</x:v>
      </x:c>
    </x:row>
    <x:row r="17">
      <x:c r="A17" s="102" t="str">
        <x:v>SOTP value / ADR</x:v>
      </x:c>
      <x:c r="B17" s="103" t="n">
        <x:f>MAX(0,B15)*1000/B16</x:f>
        <x:v>38.41457655703157</x:v>
      </x:c>
      <x:c r="C17" s="103" t="n">
        <x:f>MAX(0,C15)*1000/C16</x:f>
        <x:v>70.49812180658714</x:v>
      </x:c>
      <x:c r="D17" s="103" t="n">
        <x:f>MAX(0,D15)*1000/D16</x:f>
        <x:v>113.43168662149058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4" t="str">
        <x:v>Forward EV / EBITDA Cross-Checks</x:v>
      </x:c>
      <x:c r="B1" s="4"/>
      <x:c r="C1" s="4"/>
      <x:c r="D1" s="4"/>
      <x:c r="E1" s="4"/>
    </x:row>
    <x:row r="2" ht="30" customHeight="1">
      <x:c r="A2" s="10" t="str">
        <x:v>Forward methods use future EBITDA and future net debt, then discount future equity value back to Aug 2026. This captures expected deleveraging explicitly.</x:v>
      </x:c>
      <x:c r="B2" s="10"/>
      <x:c r="C2" s="10"/>
      <x:c r="D2" s="10"/>
      <x:c r="E2" s="10"/>
    </x:row>
    <x:row r="4">
      <x:c r="A4" s="49" t="str">
        <x:v>Peer / Current Context</x:v>
      </x:c>
      <x:c r="B4" s="49" t="str">
        <x:v>Peer / Current Context</x:v>
      </x:c>
      <x:c r="C4" s="49" t="str">
        <x:v>Peer / Current Context</x:v>
      </x:c>
      <x:c r="D4" s="49" t="str">
        <x:v>Peer / Current Context</x:v>
      </x:c>
      <x:c r="E4" s="49" t="str">
        <x:v>Peer / Current Context</x:v>
      </x:c>
    </x:row>
    <x:row r="5">
      <x:c r="A5" s="19" t="str">
        <x:v>Reference</x:v>
      </x:c>
      <x:c r="B5" s="19" t="str">
        <x:v>Metric</x:v>
      </x:c>
      <x:c r="C5" s="19" t="str">
        <x:v>Value</x:v>
      </x:c>
      <x:c r="D5" s="19" t="str">
        <x:v>Interpretation</x:v>
      </x:c>
      <x:c r="E5" s="19" t="str">
        <x:v>Source</x:v>
      </x:c>
    </x:row>
    <x:row r="6">
      <x:c r="A6" t="str">
        <x:v>YPF current</x:v>
      </x:c>
      <x:c r="B6" t="str">
        <x:v>EV / 2026 EBITDA midpoint</x:v>
      </x:c>
      <x:c r="C6" s="78" t="n">
        <x:f>CapitalStructure!B13</x:f>
        <x:v>4.63064261191</x:v>
      </x:c>
      <x:c r="D6" t="str">
        <x:v>Current market-implied multiple</x:v>
      </x:c>
      <x:c r="E6" t="str">
        <x:v>Calculated</x:v>
      </x:c>
    </x:row>
    <x:row r="7">
      <x:c r="A7" t="str">
        <x:v>Vista Energy</x:v>
      </x:c>
      <x:c r="B7" t="str">
        <x:v>EV / TTM EBITDA</x:v>
      </x:c>
      <x:c r="C7" s="78" t="n">
        <x:f>10.71/(3.525*69.45%)</x:f>
        <x:v>4.374798952254032</x:v>
      </x:c>
      <x:c r="D7" t="str">
        <x:v>Vaca Muerta pure-play growth reference</x:v>
      </x:c>
      <x:c r="E7" t="str">
        <x:v>S8</x:v>
      </x:c>
    </x:row>
    <x:row r="8">
      <x:c r="A8" t="str">
        <x:v>YPF analyst targets</x:v>
      </x:c>
      <x:c r="B8" t="str">
        <x:v>Average / median target</x:v>
      </x:c>
      <x:c r="C8" t="str">
        <x:v>$59.68 / $60</x:v>
      </x:c>
      <x:c r="D8" t="str">
        <x:v>Street context only, not model input</x:v>
      </x:c>
      <x:c r="E8" t="str">
        <x:v>S9</x:v>
      </x:c>
    </x:row>
    <x:row r="11">
      <x:c r="A11" s="49" t="str">
        <x:v>2028 Forward EV / EBITDA</x:v>
      </x:c>
      <x:c r="B11" s="49" t="str">
        <x:v>2028 Forward EV / EBITDA</x:v>
      </x:c>
      <x:c r="C11" s="49" t="str">
        <x:v>2028 Forward EV / EBITDA</x:v>
      </x:c>
      <x:c r="D11" s="49" t="str">
        <x:v>2028 Forward EV / EBITDA</x:v>
      </x:c>
      <x:c r="E11" s="49" t="str">
        <x:v>2028 Forward EV / EBITDA</x:v>
      </x:c>
    </x:row>
    <x:row r="12">
      <x:c r="A12" s="19" t="str">
        <x:v>Metric</x:v>
      </x:c>
      <x:c r="B12" s="19" t="str">
        <x:v>Bear</x:v>
      </x:c>
      <x:c r="C12" s="19" t="str">
        <x:v>Base</x:v>
      </x:c>
      <x:c r="D12" s="19" t="str">
        <x:v>Bull</x:v>
      </x:c>
    </x:row>
    <x:row r="13">
      <x:c r="A13" t="str">
        <x:v>2028 adjusted EBITDA ($bn)</x:v>
      </x:c>
      <x:c r="B13" s="56" t="n">
        <x:v>8.3</x:v>
      </x:c>
      <x:c r="C13" s="56" t="n">
        <x:v>9.4</x:v>
      </x:c>
      <x:c r="D13" s="56" t="n">
        <x:v>10.6</x:v>
      </x:c>
    </x:row>
    <x:row r="14">
      <x:c r="A14" t="str">
        <x:v>EV / EBITDA multiple</x:v>
      </x:c>
      <x:c r="B14" s="58" t="n">
        <x:v>3.75</x:v>
      </x:c>
      <x:c r="C14" s="58" t="n">
        <x:v>4.75</x:v>
      </x:c>
      <x:c r="D14" s="58" t="n">
        <x:v>5.75</x:v>
      </x:c>
    </x:row>
    <x:row r="15">
      <x:c r="A15" t="str">
        <x:v>2028 enterprise value ($bn)</x:v>
      </x:c>
      <x:c r="B15" s="66" t="n">
        <x:f>B13*B14</x:f>
        <x:v>31.125000000000004</x:v>
      </x:c>
      <x:c r="C15" s="66" t="n">
        <x:f>C13*C14</x:f>
        <x:v>44.65</x:v>
      </x:c>
      <x:c r="D15" s="66" t="n">
        <x:f>D13*D14</x:f>
        <x:v>60.949999999999996</x:v>
      </x:c>
    </x:row>
    <x:row r="16">
      <x:c r="A16" t="str">
        <x:v>2028 net debt ($bn)</x:v>
      </x:c>
      <x:c r="B16" s="97" t="n">
        <x:f>CapitalStructure!B18</x:f>
        <x:v>7</x:v>
      </x:c>
      <x:c r="C16" s="97" t="n">
        <x:f>CapitalStructure!C18</x:f>
        <x:v>3.8</x:v>
      </x:c>
      <x:c r="D16" s="97" t="n">
        <x:f>CapitalStructure!D18</x:f>
        <x:v>2</x:v>
      </x:c>
    </x:row>
    <x:row r="17">
      <x:c r="A17" t="str">
        <x:v>2028 equity value ($bn)</x:v>
      </x:c>
      <x:c r="B17" s="66" t="n">
        <x:f>B15-B16</x:f>
        <x:v>24.125000000000004</x:v>
      </x:c>
      <x:c r="C17" s="66" t="n">
        <x:f>C15-C16</x:f>
        <x:v>40.85</x:v>
      </x:c>
      <x:c r="D17" s="66" t="n">
        <x:f>D15-D16</x:f>
        <x:v>58.949999999999996</x:v>
      </x:c>
    </x:row>
    <x:row r="18">
      <x:c r="A18" t="str">
        <x:v>Discount rate</x:v>
      </x:c>
      <x:c r="B18" s="62" t="n">
        <x:v>0.17</x:v>
      </x:c>
      <x:c r="C18" s="62" t="n">
        <x:v>0.135</x:v>
      </x:c>
      <x:c r="D18" s="62" t="n">
        <x:v>0.11</x:v>
      </x:c>
    </x:row>
    <x:row r="19">
      <x:c r="A19" t="str">
        <x:v>PV factor (2.4 years)</x:v>
      </x:c>
      <x:c r="B19" s="66" t="n">
        <x:f>1/(1+B18)^2.4</x:f>
        <x:v>0.6860470983382857</x:v>
      </x:c>
      <x:c r="C19" s="66" t="n">
        <x:f>1/(1+C18)^2.4</x:f>
        <x:v>0.7379211062177483</x:v>
      </x:c>
      <x:c r="D19" s="66" t="n">
        <x:f>1/(1+D18)^2.4</x:f>
        <x:v>0.7784394747018514</x:v>
      </x:c>
    </x:row>
    <x:row r="20">
      <x:c r="A20" t="str">
        <x:v>PV equity value ($bn)</x:v>
      </x:c>
      <x:c r="B20" s="66" t="n">
        <x:f>B17*B19</x:f>
        <x:v>16.550886247411146</x:v>
      </x:c>
      <x:c r="C20" s="66" t="n">
        <x:f>C17*C19</x:f>
        <x:v>30.14407718899502</x:v>
      </x:c>
      <x:c r="D20" s="66" t="n">
        <x:f>D17*D19</x:f>
        <x:v>45.88900703367413</x:v>
      </x:c>
    </x:row>
    <x:row r="21">
      <x:c r="A21" t="str">
        <x:v>ADR-equivalent shares (mm)</x:v>
      </x:c>
      <x:c r="B21" s="106" t="n">
        <x:v>393.313</x:v>
      </x:c>
      <x:c r="C21" s="106" t="n">
        <x:v>393.313</x:v>
      </x:c>
      <x:c r="D21" s="106" t="n">
        <x:v>393.313</x:v>
      </x:c>
    </x:row>
    <x:row r="22">
      <x:c r="A22" s="70" t="str">
        <x:v>Value / ADR</x:v>
      </x:c>
      <x:c r="B22" s="71" t="n">
        <x:f>MAX(0,B20)*1000/B21</x:f>
        <x:v>42.08069971603061</x:v>
      </x:c>
      <x:c r="C22" s="71" t="n">
        <x:f>MAX(0,C20)*1000/C21</x:f>
        <x:v>76.64144635187502</x:v>
      </x:c>
      <x:c r="D22" s="71" t="n">
        <x:f>MAX(0,D20)*1000/D21</x:f>
        <x:v>116.67299843553133</x:v>
      </x:c>
    </x:row>
    <x:row r="25">
      <x:c r="A25" s="49" t="str">
        <x:v>2030 Forward EV / EBITDA</x:v>
      </x:c>
      <x:c r="B25" s="49" t="str">
        <x:v>2030 Forward EV / EBITDA</x:v>
      </x:c>
      <x:c r="C25" s="49" t="str">
        <x:v>2030 Forward EV / EBITDA</x:v>
      </x:c>
      <x:c r="D25" s="49" t="str">
        <x:v>2030 Forward EV / EBITDA</x:v>
      </x:c>
      <x:c r="E25" s="49" t="str">
        <x:v>2030 Forward EV / EBITDA</x:v>
      </x:c>
    </x:row>
    <x:row r="26">
      <x:c r="A26" s="19" t="str">
        <x:v>Metric</x:v>
      </x:c>
      <x:c r="B26" s="19" t="str">
        <x:v>Bear</x:v>
      </x:c>
      <x:c r="C26" s="19" t="str">
        <x:v>Base</x:v>
      </x:c>
      <x:c r="D26" s="19" t="str">
        <x:v>Bull</x:v>
      </x:c>
    </x:row>
    <x:row r="27">
      <x:c r="A27" t="str">
        <x:v>2030 adjusted EBITDA ($bn)</x:v>
      </x:c>
      <x:c r="B27" s="56" t="n">
        <x:v>9.8</x:v>
      </x:c>
      <x:c r="C27" s="56" t="n">
        <x:v>11.3</x:v>
      </x:c>
      <x:c r="D27" s="56" t="n">
        <x:v>13</x:v>
      </x:c>
    </x:row>
    <x:row r="28">
      <x:c r="A28" t="str">
        <x:v>EV / EBITDA multiple</x:v>
      </x:c>
      <x:c r="B28" s="58" t="n">
        <x:v>3.5</x:v>
      </x:c>
      <x:c r="C28" s="58" t="n">
        <x:v>4.5</x:v>
      </x:c>
      <x:c r="D28" s="58" t="n">
        <x:v>5.5</x:v>
      </x:c>
    </x:row>
    <x:row r="29">
      <x:c r="A29" t="str">
        <x:v>2030 enterprise value ($bn)</x:v>
      </x:c>
      <x:c r="B29" s="66" t="n">
        <x:f>B27*B28</x:f>
        <x:v>34.300000000000004</x:v>
      </x:c>
      <x:c r="C29" s="66" t="n">
        <x:f>C27*C28</x:f>
        <x:v>50.85</x:v>
      </x:c>
      <x:c r="D29" s="66" t="n">
        <x:f>D27*D28</x:f>
        <x:v>71.5</x:v>
      </x:c>
    </x:row>
    <x:row r="30">
      <x:c r="A30" t="str">
        <x:v>2030 net debt ($bn)</x:v>
      </x:c>
      <x:c r="B30" s="97" t="n">
        <x:f>CapitalStructure!B19</x:f>
        <x:v>6</x:v>
      </x:c>
      <x:c r="C30" s="97" t="n">
        <x:f>CapitalStructure!C19</x:f>
        <x:v>1.2</x:v>
      </x:c>
      <x:c r="D30" s="97" t="n">
        <x:f>CapitalStructure!D19</x:f>
        <x:v>0.5</x:v>
      </x:c>
    </x:row>
    <x:row r="31">
      <x:c r="A31" t="str">
        <x:v>2030 equity value ($bn)</x:v>
      </x:c>
      <x:c r="B31" s="66" t="n">
        <x:f>B29-B30</x:f>
        <x:v>28.300000000000004</x:v>
      </x:c>
      <x:c r="C31" s="66" t="n">
        <x:f>C29-C30</x:f>
        <x:v>49.65</x:v>
      </x:c>
      <x:c r="D31" s="66" t="n">
        <x:f>D29-D30</x:f>
        <x:v>71</x:v>
      </x:c>
    </x:row>
    <x:row r="32">
      <x:c r="A32" t="str">
        <x:v>Discount rate</x:v>
      </x:c>
      <x:c r="B32" s="62" t="n">
        <x:v>0.17</x:v>
      </x:c>
      <x:c r="C32" s="62" t="n">
        <x:v>0.135</x:v>
      </x:c>
      <x:c r="D32" s="62" t="n">
        <x:v>0.11</x:v>
      </x:c>
    </x:row>
    <x:row r="33">
      <x:c r="A33" t="str">
        <x:v>PV factor (4.4 years)</x:v>
      </x:c>
      <x:c r="B33" s="66" t="n">
        <x:f>1/(1+B32)^4.4</x:f>
        <x:v>0.5011667019784394</x:v>
      </x:c>
      <x:c r="C33" s="66" t="n">
        <x:f>1/(1+C32)^4.4</x:f>
        <x:v>0.5728200479091372</x:v>
      </x:c>
      <x:c r="D33" s="66" t="n">
        <x:f>1/(1+D32)^4.4</x:f>
        <x:v>0.6317989405907404</x:v>
      </x:c>
    </x:row>
    <x:row r="34">
      <x:c r="A34" t="str">
        <x:v>PV equity value ($bn)</x:v>
      </x:c>
      <x:c r="B34" s="66" t="n">
        <x:f>B31*B33</x:f>
        <x:v>14.183017665989837</x:v>
      </x:c>
      <x:c r="C34" s="66" t="n">
        <x:f>C31*C33</x:f>
        <x:v>28.440515378688662</x:v>
      </x:c>
      <x:c r="D34" s="66" t="n">
        <x:f>D31*D33</x:f>
        <x:v>44.857724781942565</x:v>
      </x:c>
    </x:row>
    <x:row r="35">
      <x:c r="A35" t="str">
        <x:v>ADR-equivalent shares (mm)</x:v>
      </x:c>
      <x:c r="B35" s="106" t="n">
        <x:v>393.313</x:v>
      </x:c>
      <x:c r="C35" s="106" t="n">
        <x:v>393.313</x:v>
      </x:c>
      <x:c r="D35" s="106" t="n">
        <x:v>393.313</x:v>
      </x:c>
    </x:row>
    <x:row r="36">
      <x:c r="A36" t="str">
        <x:v>Value / ADR</x:v>
      </x:c>
      <x:c r="B36" s="66" t="n">
        <x:f>MAX(0,B34)*1000/B35</x:f>
        <x:v>36.06038362828037</x:v>
      </x:c>
      <x:c r="C36" s="66" t="n">
        <x:f>MAX(0,C34)*1000/C35</x:f>
        <x:v>72.31013309676686</x:v>
      </x:c>
      <x:c r="D36" s="66" t="n">
        <x:f>MAX(0,D34)*1000/D35</x:f>
        <x:v>114.05095885959165</x:v>
      </x:c>
    </x:row>
  </x:sheetData>
  <x:mergeCells>
    <x:mergeCell ref="A1:E1"/>
    <x:mergeCell ref="A2:E2"/>
    <x:mergeCell ref="A4:E4"/>
    <x:mergeCell ref="A11:E11"/>
    <x:mergeCell ref="A25:E2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3" max="13" width="18" hidden="0" customWidth="1"/>
    <x:col min="14" max="14" width="18" hidden="0" customWidth="1"/>
    <x:col min="16" max="16" width="26" hidden="0" customWidth="1"/>
    <x:col min="17" max="17" width="16" hidden="0" customWidth="1"/>
  </x:cols>
  <x:sheetData>
    <x:row r="1" ht="28" customHeight="1">
      <x:c r="A1" s="4" t="str">
        <x:v>Equity Free-Cash-Flow DCF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30" customHeight="1">
      <x:c r="A2" s="10" t="str">
        <x:v>YPF's company-defined FCF includes interest/leasing payments, so this model treats it as an equity cash-flow stream and discounts at a cost of equity. Net debt is not subtracted again.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4">
      <x:c r="A4" s="19" t="str">
        <x:v>Metric</x:v>
      </x:c>
      <x:c r="B4" s="19" t="str">
        <x:v>2026E</x:v>
      </x:c>
      <x:c r="C4" s="19" t="str">
        <x:v>2027E</x:v>
      </x:c>
      <x:c r="D4" s="19" t="str">
        <x:v>2028E</x:v>
      </x:c>
      <x:c r="E4" s="19" t="str">
        <x:v>2029E</x:v>
      </x:c>
      <x:c r="F4" s="19" t="str">
        <x:v>2030E</x:v>
      </x:c>
      <x:c r="G4" s="19" t="str">
        <x:v>2031E</x:v>
      </x:c>
      <x:c r="H4" s="19" t="str">
        <x:v>2032E</x:v>
      </x:c>
      <x:c r="I4" s="19" t="str">
        <x:v>2033E</x:v>
      </x:c>
      <x:c r="J4" s="19" t="str">
        <x:v>2034E</x:v>
      </x:c>
      <x:c r="K4" s="19" t="str">
        <x:v>2035E</x:v>
      </x:c>
    </x:row>
    <x:row r="5">
      <x:c r="A5" s="49" t="str">
        <x:v>Bear Equity FCF DCF</x:v>
      </x:c>
      <x:c r="B5" s="49" t="str">
        <x:v>Bear Equity FCF DCF</x:v>
      </x:c>
      <x:c r="C5" s="49" t="str">
        <x:v>Bear Equity FCF DCF</x:v>
      </x:c>
      <x:c r="D5" s="49" t="str">
        <x:v>Bear Equity FCF DCF</x:v>
      </x:c>
      <x:c r="E5" s="49" t="str">
        <x:v>Bear Equity FCF DCF</x:v>
      </x:c>
      <x:c r="F5" s="49" t="str">
        <x:v>Bear Equity FCF DCF</x:v>
      </x:c>
      <x:c r="G5" s="49" t="str">
        <x:v>Bear Equity FCF DCF</x:v>
      </x:c>
      <x:c r="H5" s="49" t="str">
        <x:v>Bear Equity FCF DCF</x:v>
      </x:c>
      <x:c r="I5" s="49" t="str">
        <x:v>Bear Equity FCF DCF</x:v>
      </x:c>
      <x:c r="J5" s="49" t="str">
        <x:v>Bear Equity FCF DCF</x:v>
      </x:c>
      <x:c r="K5" s="49" t="str">
        <x:v>Bear Equity FCF DCF</x:v>
      </x:c>
      <x:c r="M5" t="str">
        <x:v>Cost of equity</x:v>
      </x:c>
      <x:c r="N5" s="34" t="n">
        <x:v>0.19</x:v>
      </x:c>
    </x:row>
    <x:row r="6">
      <x:c r="A6" t="str">
        <x:v>Equity FCF ($bn)</x:v>
      </x:c>
      <x:c r="B6" s="97" t="n">
        <x:f>Forecast!B11</x:f>
        <x:v>-0.3</x:v>
      </x:c>
      <x:c r="C6" s="97" t="n">
        <x:f>Forecast!C11</x:f>
        <x:v>0.3</x:v>
      </x:c>
      <x:c r="D6" s="97" t="n">
        <x:f>Forecast!D11</x:f>
        <x:v>1.2</x:v>
      </x:c>
      <x:c r="E6" s="97" t="n">
        <x:f>Forecast!E11</x:f>
        <x:v>1.8</x:v>
      </x:c>
      <x:c r="F6" s="97" t="n">
        <x:f>Forecast!F11</x:f>
        <x:v>2.1</x:v>
      </x:c>
      <x:c r="G6" s="97" t="n">
        <x:f>Forecast!G11</x:f>
        <x:v>2.3</x:v>
      </x:c>
      <x:c r="H6" s="97" t="n">
        <x:f>Forecast!H11</x:f>
        <x:v>2.4</x:v>
      </x:c>
      <x:c r="I6" s="97" t="n">
        <x:f>Forecast!I11</x:f>
        <x:v>2.5</x:v>
      </x:c>
      <x:c r="J6" s="97" t="n">
        <x:f>Forecast!J11</x:f>
        <x:v>2.6</x:v>
      </x:c>
      <x:c r="K6" s="97" t="n">
        <x:f>Forecast!K11</x:f>
        <x:v>2.7</x:v>
      </x:c>
      <x:c r="M6" t="str">
        <x:v>Terminal growth</x:v>
      </x:c>
      <x:c r="N6" s="34" t="n">
        <x:v>0.005</x:v>
      </x:c>
    </x:row>
    <x:row r="7">
      <x:c r="A7" t="str">
        <x:v>Discount period</x:v>
      </x:c>
      <x:c r="B7" s="42" t="n">
        <x:v>0.4</x:v>
      </x:c>
      <x:c r="C7" s="42" t="n">
        <x:v>1.4</x:v>
      </x:c>
      <x:c r="D7" s="42" t="n">
        <x:v>2.4</x:v>
      </x:c>
      <x:c r="E7" s="42" t="n">
        <x:v>3.4</x:v>
      </x:c>
      <x:c r="F7" s="42" t="n">
        <x:v>4.4</x:v>
      </x:c>
      <x:c r="G7" s="42" t="n">
        <x:v>5.4</x:v>
      </x:c>
      <x:c r="H7" s="42" t="n">
        <x:v>6.4</x:v>
      </x:c>
      <x:c r="I7" s="42" t="n">
        <x:v>7.4</x:v>
      </x:c>
      <x:c r="J7" s="42" t="n">
        <x:v>8.4</x:v>
      </x:c>
      <x:c r="K7" s="42" t="n">
        <x:v>9.4</x:v>
      </x:c>
    </x:row>
    <x:row r="8">
      <x:c r="A8" t="str">
        <x:v>Discount factor</x:v>
      </x:c>
      <x:c r="B8" s="108" t="n">
        <x:f>1/(1+$N$5)^B7</x:f>
        <x:v>0.9327842736250483</x:v>
      </x:c>
      <x:c r="C8" s="108" t="n">
        <x:f>1/(1+$N$5)^C7</x:f>
        <x:v>0.7838523307773516</x:v>
      </x:c>
      <x:c r="D8" s="108" t="n">
        <x:f>1/(1+$N$5)^D7</x:f>
        <x:v>0.6586994376280266</x:v>
      </x:c>
      <x:c r="E8" s="108" t="n">
        <x:f>1/(1+$N$5)^E7</x:f>
        <x:v>0.5535289391832157</x:v>
      </x:c>
      <x:c r="F8" s="108" t="n">
        <x:f>1/(1+$N$5)^F7</x:f>
        <x:v>0.46515036906152574</x:v>
      </x:c>
      <x:c r="G8" s="108" t="n">
        <x:f>1/(1+$N$5)^G7</x:f>
        <x:v>0.3908826630769124</x:v>
      </x:c>
      <x:c r="H8" s="108" t="n">
        <x:f>1/(1+$N$5)^H7</x:f>
        <x:v>0.3284728261150524</x:v>
      </x:c>
      <x:c r="I8" s="108" t="n">
        <x:f>1/(1+$N$5)^I7</x:f>
        <x:v>0.2760275849706323</x:v>
      </x:c>
      <x:c r="J8" s="108" t="n">
        <x:f>1/(1+$N$5)^J7</x:f>
        <x:v>0.23195595375683387</x:v>
      </x:c>
      <x:c r="K8" s="108" t="n">
        <x:f>1/(1+$N$5)^K7</x:f>
        <x:v>0.1949209695435579</x:v>
      </x:c>
    </x:row>
    <x:row r="9">
      <x:c r="A9" t="str">
        <x:v>PV FCF ($bn)</x:v>
      </x:c>
      <x:c r="B9" s="66" t="n">
        <x:f>B6*B8</x:f>
        <x:v>-0.2798352820875145</x:v>
      </x:c>
      <x:c r="C9" s="66" t="n">
        <x:f>C6*C8</x:f>
        <x:v>0.23515569923320548</x:v>
      </x:c>
      <x:c r="D9" s="66" t="n">
        <x:f>D6*D8</x:f>
        <x:v>0.7904393251536319</x:v>
      </x:c>
      <x:c r="E9" s="66" t="n">
        <x:f>E6*E8</x:f>
        <x:v>0.9963520905297882</x:v>
      </x:c>
      <x:c r="F9" s="66" t="n">
        <x:f>F6*F8</x:f>
        <x:v>0.9768157750292041</x:v>
      </x:c>
      <x:c r="G9" s="66" t="n">
        <x:f>G6*G8</x:f>
        <x:v>0.8990301250768984</x:v>
      </x:c>
      <x:c r="H9" s="66" t="n">
        <x:f>H6*H8</x:f>
        <x:v>0.7883347826761258</x:v>
      </x:c>
      <x:c r="I9" s="66" t="n">
        <x:f>I6*I8</x:f>
        <x:v>0.6900689624265808</x:v>
      </x:c>
      <x:c r="J9" s="66" t="n">
        <x:f>J6*J8</x:f>
        <x:v>0.603085479767768</x:v>
      </x:c>
      <x:c r="K9" s="66" t="n">
        <x:f>K6*K8</x:f>
        <x:v>0.5262866177676063</x:v>
      </x:c>
      <x:c r="P9" t="str">
        <x:v>PV explicit equity FCF</x:v>
      </x:c>
      <x:c r="Q9" s="66" t="n">
        <x:f>SUM(B9:K9)</x:f>
        <x:v>6.225733575573295</x:v>
      </x:c>
    </x:row>
    <x:row r="10">
      <x:c r="P10" t="str">
        <x:v>Terminal equity FCF</x:v>
      </x:c>
      <x:c r="Q10" s="66" t="n">
        <x:f>K6*(1+$N$6)</x:f>
        <x:v>2.7135</x:v>
      </x:c>
    </x:row>
    <x:row r="11">
      <x:c r="P11" t="str">
        <x:v>Terminal equity value</x:v>
      </x:c>
      <x:c r="Q11" s="66" t="n">
        <x:f>Q10/($N$5-$N$6)</x:f>
        <x:v>14.667567567567566</x:v>
      </x:c>
    </x:row>
    <x:row r="12">
      <x:c r="P12" t="str">
        <x:v>PV terminal value</x:v>
      </x:c>
      <x:c r="Q12" s="66" t="n">
        <x:f>Q11*K8</x:f>
        <x:v>2.859016491115915</x:v>
      </x:c>
    </x:row>
    <x:row r="13">
      <x:c r="P13" t="str">
        <x:v>Equity value</x:v>
      </x:c>
      <x:c r="Q13" s="66" t="n">
        <x:f>Q9+Q12</x:f>
        <x:v>9.08475006668921</x:v>
      </x:c>
    </x:row>
    <x:row r="14">
      <x:c r="P14" t="str">
        <x:v>ADR-equivalent shares (mm)</x:v>
      </x:c>
      <x:c r="Q14" s="106" t="n">
        <x:f>CapitalStructure!B9</x:f>
        <x:v>393.312793</x:v>
      </x:c>
    </x:row>
    <x:row r="15">
      <x:c r="P15" t="str">
        <x:v>DCF value / ADR</x:v>
      </x:c>
      <x:c r="Q15" s="66" t="n">
        <x:f>Q13*1000/Q14</x:f>
        <x:v>23.09802840989515</x:v>
      </x:c>
    </x:row>
    <x:row r="22">
      <x:c r="A22" s="49" t="str">
        <x:v>Base Equity FCF DCF</x:v>
      </x:c>
      <x:c r="B22" s="49" t="str">
        <x:v>Base Equity FCF DCF</x:v>
      </x:c>
      <x:c r="C22" s="49" t="str">
        <x:v>Base Equity FCF DCF</x:v>
      </x:c>
      <x:c r="D22" s="49" t="str">
        <x:v>Base Equity FCF DCF</x:v>
      </x:c>
      <x:c r="E22" s="49" t="str">
        <x:v>Base Equity FCF DCF</x:v>
      </x:c>
      <x:c r="F22" s="49" t="str">
        <x:v>Base Equity FCF DCF</x:v>
      </x:c>
      <x:c r="G22" s="49" t="str">
        <x:v>Base Equity FCF DCF</x:v>
      </x:c>
      <x:c r="H22" s="49" t="str">
        <x:v>Base Equity FCF DCF</x:v>
      </x:c>
      <x:c r="I22" s="49" t="str">
        <x:v>Base Equity FCF DCF</x:v>
      </x:c>
      <x:c r="J22" s="49" t="str">
        <x:v>Base Equity FCF DCF</x:v>
      </x:c>
      <x:c r="K22" s="49" t="str">
        <x:v>Base Equity FCF DCF</x:v>
      </x:c>
      <x:c r="M22" t="str">
        <x:v>Cost of equity</x:v>
      </x:c>
      <x:c r="N22" s="110" t="n">
        <x:v>0.15</x:v>
      </x:c>
    </x:row>
    <x:row r="23">
      <x:c r="A23" t="str">
        <x:v>Equity FCF ($bn)</x:v>
      </x:c>
      <x:c r="B23" s="97" t="n">
        <x:f>Forecast!B27</x:f>
        <x:v>0.5</x:v>
      </x:c>
      <x:c r="C23" s="97" t="n">
        <x:f>Forecast!C27</x:f>
        <x:v>1.3</x:v>
      </x:c>
      <x:c r="D23" s="97" t="n">
        <x:f>Forecast!D27</x:f>
        <x:v>2.4</x:v>
      </x:c>
      <x:c r="E23" s="97" t="n">
        <x:f>Forecast!E27</x:f>
        <x:v>3.1</x:v>
      </x:c>
      <x:c r="F23" s="97" t="n">
        <x:f>Forecast!F27</x:f>
        <x:v>3.6</x:v>
      </x:c>
      <x:c r="G23" s="97" t="n">
        <x:f>Forecast!G27</x:f>
        <x:v>3.9</x:v>
      </x:c>
      <x:c r="H23" s="97" t="n">
        <x:f>Forecast!H27</x:f>
        <x:v>4.1</x:v>
      </x:c>
      <x:c r="I23" s="97" t="n">
        <x:f>Forecast!I27</x:f>
        <x:v>4.3</x:v>
      </x:c>
      <x:c r="J23" s="97" t="n">
        <x:f>Forecast!J27</x:f>
        <x:v>4.4</x:v>
      </x:c>
      <x:c r="K23" s="97" t="n">
        <x:f>Forecast!K27</x:f>
        <x:v>4.5</x:v>
      </x:c>
      <x:c r="M23" t="str">
        <x:v>Terminal growth</x:v>
      </x:c>
      <x:c r="N23" s="110" t="n">
        <x:v>0.015</x:v>
      </x:c>
    </x:row>
    <x:row r="24">
      <x:c r="A24" t="str">
        <x:v>Discount period</x:v>
      </x:c>
      <x:c r="B24" s="42" t="n">
        <x:v>0.4</x:v>
      </x:c>
      <x:c r="C24" s="42" t="n">
        <x:v>1.4</x:v>
      </x:c>
      <x:c r="D24" s="42" t="n">
        <x:v>2.4</x:v>
      </x:c>
      <x:c r="E24" s="42" t="n">
        <x:v>3.4</x:v>
      </x:c>
      <x:c r="F24" s="42" t="n">
        <x:v>4.4</x:v>
      </x:c>
      <x:c r="G24" s="42" t="n">
        <x:v>5.4</x:v>
      </x:c>
      <x:c r="H24" s="42" t="n">
        <x:v>6.4</x:v>
      </x:c>
      <x:c r="I24" s="42" t="n">
        <x:v>7.4</x:v>
      </x:c>
      <x:c r="J24" s="42" t="n">
        <x:v>8.4</x:v>
      </x:c>
      <x:c r="K24" s="42" t="n">
        <x:v>9.4</x:v>
      </x:c>
    </x:row>
    <x:row r="25">
      <x:c r="A25" t="str">
        <x:v>Discount factor</x:v>
      </x:c>
      <x:c r="B25" s="108" t="n">
        <x:f>1/(1+$N$22)^B24</x:f>
        <x:v>0.9456291772976909</x:v>
      </x:c>
      <x:c r="C25" s="108" t="n">
        <x:f>1/(1+$N$22)^C24</x:f>
        <x:v>0.8222862411284269</x:v>
      </x:c>
      <x:c r="D25" s="108" t="n">
        <x:f>1/(1+$N$22)^D24</x:f>
        <x:v>0.715031514024719</x:v>
      </x:c>
      <x:c r="E25" s="108" t="n">
        <x:f>1/(1+$N$22)^E24</x:f>
        <x:v>0.6217665339345384</x:v>
      </x:c>
      <x:c r="F25" s="108" t="n">
        <x:f>1/(1+$N$22)^F24</x:f>
        <x:v>0.5406665512474247</x:v>
      </x:c>
      <x:c r="G25" s="108" t="n">
        <x:f>1/(1+$N$22)^G24</x:f>
        <x:v>0.47014482717167366</x:v>
      </x:c>
      <x:c r="H25" s="108" t="n">
        <x:f>1/(1+$N$22)^H24</x:f>
        <x:v>0.40882158884493364</x:v>
      </x:c>
      <x:c r="I25" s="108" t="n">
        <x:f>1/(1+$N$22)^I24</x:f>
        <x:v>0.3554970337782032</x:v>
      </x:c>
      <x:c r="J25" s="108" t="n">
        <x:f>1/(1+$N$22)^J24</x:f>
        <x:v>0.30912785545930715</x:v>
      </x:c>
      <x:c r="K25" s="108" t="n">
        <x:f>1/(1+$N$22)^K24</x:f>
        <x:v>0.26880683083418017</x:v>
      </x:c>
    </x:row>
    <x:row r="26">
      <x:c r="A26" t="str">
        <x:v>PV FCF ($bn)</x:v>
      </x:c>
      <x:c r="B26" s="66" t="n">
        <x:f>B23*B25</x:f>
        <x:v>0.47281458864884546</x:v>
      </x:c>
      <x:c r="C26" s="66" t="n">
        <x:f>C23*C25</x:f>
        <x:v>1.068972113466955</x:v>
      </x:c>
      <x:c r="D26" s="66" t="n">
        <x:f>D23*D25</x:f>
        <x:v>1.7160756336593255</x:v>
      </x:c>
      <x:c r="E26" s="66" t="n">
        <x:f>E23*E25</x:f>
        <x:v>1.927476255197069</x:v>
      </x:c>
      <x:c r="F26" s="66" t="n">
        <x:f>F23*F25</x:f>
        <x:v>1.946399584490729</x:v>
      </x:c>
      <x:c r="G26" s="66" t="n">
        <x:f>G23*G25</x:f>
        <x:v>1.8335648259695272</x:v>
      </x:c>
      <x:c r="H26" s="66" t="n">
        <x:f>H23*H25</x:f>
        <x:v>1.6761685142642277</x:v>
      </x:c>
      <x:c r="I26" s="66" t="n">
        <x:f>I23*I25</x:f>
        <x:v>1.5286372452462735</x:v>
      </x:c>
      <x:c r="J26" s="66" t="n">
        <x:f>J23*J25</x:f>
        <x:v>1.3601625640209516</x:v>
      </x:c>
      <x:c r="K26" s="66" t="n">
        <x:f>K23*K25</x:f>
        <x:v>1.2096307387538108</x:v>
      </x:c>
      <x:c r="P26" t="str">
        <x:v>PV explicit equity FCF</x:v>
      </x:c>
      <x:c r="Q26" s="66" t="n">
        <x:f>SUM(B26:K26)</x:f>
        <x:v>14.739902063717714</x:v>
      </x:c>
    </x:row>
    <x:row r="27">
      <x:c r="P27" t="str">
        <x:v>Terminal equity FCF</x:v>
      </x:c>
      <x:c r="Q27" s="66" t="n">
        <x:f>K23*(1+$N$23)</x:f>
        <x:v>4.5675</x:v>
      </x:c>
    </x:row>
    <x:row r="28">
      <x:c r="P28" t="str">
        <x:v>Terminal equity value</x:v>
      </x:c>
      <x:c r="Q28" s="66" t="n">
        <x:f>Q27/($N$22-$N$23)</x:f>
        <x:v>33.83333333333333</x:v>
      </x:c>
    </x:row>
    <x:row r="29">
      <x:c r="P29" t="str">
        <x:v>PV terminal value</x:v>
      </x:c>
      <x:c r="Q29" s="66" t="n">
        <x:f>Q28*K25</x:f>
        <x:v>9.094631109889761</x:v>
      </x:c>
    </x:row>
    <x:row r="30">
      <x:c r="P30" t="str">
        <x:v>Equity value</x:v>
      </x:c>
      <x:c r="Q30" s="66" t="n">
        <x:f>Q26+Q29</x:f>
        <x:v>23.834533173607475</x:v>
      </x:c>
    </x:row>
    <x:row r="31">
      <x:c r="P31" t="str">
        <x:v>ADR-equivalent shares (mm)</x:v>
      </x:c>
      <x:c r="Q31" s="106" t="n">
        <x:f>CapitalStructure!B9</x:f>
        <x:v>393.312793</x:v>
      </x:c>
    </x:row>
    <x:row r="32">
      <x:c r="P32" t="str">
        <x:v>DCF value / ADR</x:v>
      </x:c>
      <x:c r="Q32" s="66" t="n">
        <x:f>Q30*1000/Q31</x:f>
        <x:v>60.59943535476985</x:v>
      </x:c>
    </x:row>
    <x:row r="39">
      <x:c r="A39" s="49" t="str">
        <x:v>Bull Equity FCF DCF</x:v>
      </x:c>
      <x:c r="B39" s="49" t="str">
        <x:v>Bull Equity FCF DCF</x:v>
      </x:c>
      <x:c r="C39" s="49" t="str">
        <x:v>Bull Equity FCF DCF</x:v>
      </x:c>
      <x:c r="D39" s="49" t="str">
        <x:v>Bull Equity FCF DCF</x:v>
      </x:c>
      <x:c r="E39" s="49" t="str">
        <x:v>Bull Equity FCF DCF</x:v>
      </x:c>
      <x:c r="F39" s="49" t="str">
        <x:v>Bull Equity FCF DCF</x:v>
      </x:c>
      <x:c r="G39" s="49" t="str">
        <x:v>Bull Equity FCF DCF</x:v>
      </x:c>
      <x:c r="H39" s="49" t="str">
        <x:v>Bull Equity FCF DCF</x:v>
      </x:c>
      <x:c r="I39" s="49" t="str">
        <x:v>Bull Equity FCF DCF</x:v>
      </x:c>
      <x:c r="J39" s="49" t="str">
        <x:v>Bull Equity FCF DCF</x:v>
      </x:c>
      <x:c r="K39" s="49" t="str">
        <x:v>Bull Equity FCF DCF</x:v>
      </x:c>
      <x:c r="M39" t="str">
        <x:v>Cost of equity</x:v>
      </x:c>
      <x:c r="N39" s="34" t="n">
        <x:v>0.12</x:v>
      </x:c>
    </x:row>
    <x:row r="40">
      <x:c r="A40" t="str">
        <x:v>Equity FCF ($bn)</x:v>
      </x:c>
      <x:c r="B40" s="97" t="n">
        <x:f>Forecast!B43</x:f>
        <x:v>1.3</x:v>
      </x:c>
      <x:c r="C40" s="97" t="n">
        <x:f>Forecast!C43</x:f>
        <x:v>2.3</x:v>
      </x:c>
      <x:c r="D40" s="97" t="n">
        <x:f>Forecast!D43</x:f>
        <x:v>3.6</x:v>
      </x:c>
      <x:c r="E40" s="97" t="n">
        <x:f>Forecast!E43</x:f>
        <x:v>4.4</x:v>
      </x:c>
      <x:c r="F40" s="97" t="n">
        <x:f>Forecast!F43</x:f>
        <x:v>5</x:v>
      </x:c>
      <x:c r="G40" s="97" t="n">
        <x:f>Forecast!G43</x:f>
        <x:v>5.5</x:v>
      </x:c>
      <x:c r="H40" s="97" t="n">
        <x:f>Forecast!H43</x:f>
        <x:v>5.8</x:v>
      </x:c>
      <x:c r="I40" s="97" t="n">
        <x:f>Forecast!I43</x:f>
        <x:v>6</x:v>
      </x:c>
      <x:c r="J40" s="97" t="n">
        <x:f>Forecast!J43</x:f>
        <x:v>6.2</x:v>
      </x:c>
      <x:c r="K40" s="97" t="n">
        <x:f>Forecast!K43</x:f>
        <x:v>6.4</x:v>
      </x:c>
      <x:c r="M40" t="str">
        <x:v>Terminal growth</x:v>
      </x:c>
      <x:c r="N40" s="34" t="n">
        <x:v>0.02</x:v>
      </x:c>
    </x:row>
    <x:row r="41">
      <x:c r="A41" t="str">
        <x:v>Discount period</x:v>
      </x:c>
      <x:c r="B41" s="42" t="n">
        <x:v>0.4</x:v>
      </x:c>
      <x:c r="C41" s="42" t="n">
        <x:v>1.4</x:v>
      </x:c>
      <x:c r="D41" s="42" t="n">
        <x:v>2.4</x:v>
      </x:c>
      <x:c r="E41" s="42" t="n">
        <x:v>3.4</x:v>
      </x:c>
      <x:c r="F41" s="42" t="n">
        <x:v>4.4</x:v>
      </x:c>
      <x:c r="G41" s="42" t="n">
        <x:v>5.4</x:v>
      </x:c>
      <x:c r="H41" s="42" t="n">
        <x:v>6.4</x:v>
      </x:c>
      <x:c r="I41" s="42" t="n">
        <x:v>7.4</x:v>
      </x:c>
      <x:c r="J41" s="42" t="n">
        <x:v>8.4</x:v>
      </x:c>
      <x:c r="K41" s="42" t="n">
        <x:v>9.4</x:v>
      </x:c>
    </x:row>
    <x:row r="42">
      <x:c r="A42" t="str">
        <x:v>Discount factor</x:v>
      </x:c>
      <x:c r="B42" s="108" t="n">
        <x:f>1/(1+$N$39)^B41</x:f>
        <x:v>0.9556806459207631</x:v>
      </x:c>
      <x:c r="C42" s="108" t="n">
        <x:f>1/(1+$N$39)^C41</x:f>
        <x:v>0.8532862910006813</x:v>
      </x:c>
      <x:c r="D42" s="108" t="n">
        <x:f>1/(1+$N$39)^D41</x:f>
        <x:v>0.7618627598220368</x:v>
      </x:c>
      <x:c r="E42" s="108" t="n">
        <x:f>1/(1+$N$39)^E41</x:f>
        <x:v>0.6802346069839614</x:v>
      </x:c>
      <x:c r="F42" s="108" t="n">
        <x:f>1/(1+$N$39)^F41</x:f>
        <x:v>0.6073523276642511</x:v>
      </x:c>
      <x:c r="G42" s="108" t="n">
        <x:f>1/(1+$N$39)^G41</x:f>
        <x:v>0.5422788639859385</x:v>
      </x:c>
      <x:c r="H42" s="108" t="n">
        <x:f>1/(1+$N$39)^H41</x:f>
        <x:v>0.4841775571303021</x:v>
      </x:c>
      <x:c r="I42" s="108" t="n">
        <x:f>1/(1+$N$39)^I41</x:f>
        <x:v>0.43230139029491255</x:v>
      </x:c>
      <x:c r="J42" s="108" t="n">
        <x:f>1/(1+$N$39)^J41</x:f>
        <x:v>0.38598338419188616</x:v>
      </x:c>
      <x:c r="K42" s="108" t="n">
        <x:f>1/(1+$N$39)^K41</x:f>
        <x:v>0.34462802159989836</x:v>
      </x:c>
    </x:row>
    <x:row r="43">
      <x:c r="A43" t="str">
        <x:v>PV FCF ($bn)</x:v>
      </x:c>
      <x:c r="B43" s="66" t="n">
        <x:f>B40*B42</x:f>
        <x:v>1.242384839696992</x:v>
      </x:c>
      <x:c r="C43" s="66" t="n">
        <x:f>C40*C42</x:f>
        <x:v>1.962558469301567</x:v>
      </x:c>
      <x:c r="D43" s="66" t="n">
        <x:f>D40*D42</x:f>
        <x:v>2.7427059353593326</x:v>
      </x:c>
      <x:c r="E43" s="66" t="n">
        <x:f>E40*E42</x:f>
        <x:v>2.9930322707294303</x:v>
      </x:c>
      <x:c r="F43" s="66" t="n">
        <x:f>F40*F42</x:f>
        <x:v>3.0367616383212552</x:v>
      </x:c>
      <x:c r="G43" s="66" t="n">
        <x:f>G40*G42</x:f>
        <x:v>2.9825337519226616</x:v>
      </x:c>
      <x:c r="H43" s="66" t="n">
        <x:f>H40*H42</x:f>
        <x:v>2.808229831355752</x:v>
      </x:c>
      <x:c r="I43" s="66" t="n">
        <x:f>I40*I42</x:f>
        <x:v>2.593808341769475</x:v>
      </x:c>
      <x:c r="J43" s="66" t="n">
        <x:f>J40*J42</x:f>
        <x:v>2.3930969819896943</x:v>
      </x:c>
      <x:c r="K43" s="66" t="n">
        <x:f>K40*K42</x:f>
        <x:v>2.2056193382393494</x:v>
      </x:c>
      <x:c r="P43" t="str">
        <x:v>PV explicit equity FCF</x:v>
      </x:c>
      <x:c r="Q43" s="66" t="n">
        <x:f>SUM(B43:K43)</x:f>
        <x:v>24.960731398685507</x:v>
      </x:c>
    </x:row>
    <x:row r="44">
      <x:c r="P44" t="str">
        <x:v>Terminal equity FCF</x:v>
      </x:c>
      <x:c r="Q44" s="66" t="n">
        <x:f>K40*(1+$N$40)</x:f>
        <x:v>6.5280000000000005</x:v>
      </x:c>
    </x:row>
    <x:row r="45">
      <x:c r="P45" t="str">
        <x:v>Terminal equity value</x:v>
      </x:c>
      <x:c r="Q45" s="66" t="n">
        <x:f>Q44/($N$39-$N$40)</x:f>
        <x:v>65.28000000000002</x:v>
      </x:c>
    </x:row>
    <x:row r="46">
      <x:c r="P46" t="str">
        <x:v>PV terminal value</x:v>
      </x:c>
      <x:c r="Q46" s="66" t="n">
        <x:f>Q45*K42</x:f>
        <x:v>22.49731725004137</x:v>
      </x:c>
    </x:row>
    <x:row r="47">
      <x:c r="P47" t="str">
        <x:v>Equity value</x:v>
      </x:c>
      <x:c r="Q47" s="66" t="n">
        <x:f>Q43+Q46</x:f>
        <x:v>47.45804864872687</x:v>
      </x:c>
    </x:row>
    <x:row r="48">
      <x:c r="P48" t="str">
        <x:v>ADR-equivalent shares (mm)</x:v>
      </x:c>
      <x:c r="Q48" s="106" t="n">
        <x:f>CapitalStructure!B9</x:f>
        <x:v>393.312793</x:v>
      </x:c>
    </x:row>
    <x:row r="49">
      <x:c r="P49" t="str">
        <x:v>DCF value / ADR</x:v>
      </x:c>
      <x:c r="Q49" s="66" t="n">
        <x:f>Q47*1000/Q48</x:f>
        <x:v>120.66235701803595</x:v>
      </x:c>
    </x:row>
  </x:sheetData>
  <x:mergeCells>
    <x:mergeCell ref="A1:R1"/>
    <x:mergeCell ref="A2:R2"/>
    <x:mergeCell ref="A5:K5"/>
    <x:mergeCell ref="A22:K22"/>
    <x:mergeCell ref="A39:K39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4" t="str">
        <x:v>Valuation Summary</x:v>
      </x:c>
      <x:c r="B1" s="4"/>
      <x:c r="C1" s="4"/>
      <x:c r="D1" s="4"/>
      <x:c r="E1" s="4"/>
    </x:row>
    <x:row r="2" ht="30" customHeight="1">
      <x:c r="A2" s="10" t="str">
        <x:v>Blended value: 40% Asset SOTP, 25% 2028 Forward EV/EBITDA, 20% Equity FCF DCF, 15% 2030 Forward EV/EBITDA.</x:v>
      </x:c>
      <x:c r="B2" s="10"/>
      <x:c r="C2" s="10"/>
      <x:c r="D2" s="10"/>
      <x:c r="E2" s="10"/>
    </x:row>
    <x:row r="4">
      <x:c r="A4" s="19" t="str">
        <x:v>Method</x:v>
      </x:c>
      <x:c r="B4" s="19" t="str">
        <x:v>Bear</x:v>
      </x:c>
      <x:c r="C4" s="19" t="str">
        <x:v>Base</x:v>
      </x:c>
      <x:c r="D4" s="19" t="str">
        <x:v>Bull</x:v>
      </x:c>
    </x:row>
    <x:row r="5">
      <x:c r="A5" t="str">
        <x:v>Asset SOTP</x:v>
      </x:c>
      <x:c r="B5" s="97" t="n">
        <x:f>SOTP!B17</x:f>
        <x:v>38.41457655703157</x:v>
      </x:c>
      <x:c r="C5" s="97" t="n">
        <x:f>SOTP!C17</x:f>
        <x:v>70.49812180658714</x:v>
      </x:c>
      <x:c r="D5" s="97" t="n">
        <x:f>SOTP!D17</x:f>
        <x:v>113.43168662149058</x:v>
      </x:c>
    </x:row>
    <x:row r="6">
      <x:c r="A6" t="str">
        <x:v>2028 Forward EV/EBITDA</x:v>
      </x:c>
      <x:c r="B6" s="97" t="n">
        <x:f>Multiples!B22</x:f>
        <x:v>42.08069971603061</x:v>
      </x:c>
      <x:c r="C6" s="97" t="n">
        <x:f>Multiples!C22</x:f>
        <x:v>76.64144635187502</x:v>
      </x:c>
      <x:c r="D6" s="97" t="n">
        <x:f>Multiples!D22</x:f>
        <x:v>116.67299843553133</x:v>
      </x:c>
    </x:row>
    <x:row r="7">
      <x:c r="A7" t="str">
        <x:v>Equity FCF DCF</x:v>
      </x:c>
      <x:c r="B7" s="97" t="n">
        <x:f>DCF!Q15</x:f>
        <x:v>23.09802840989515</x:v>
      </x:c>
      <x:c r="C7" s="97" t="n">
        <x:f>DCF!Q32</x:f>
        <x:v>60.59943535476985</x:v>
      </x:c>
      <x:c r="D7" s="97" t="n">
        <x:f>DCF!Q49</x:f>
        <x:v>120.66235701803595</x:v>
      </x:c>
    </x:row>
    <x:row r="8">
      <x:c r="A8" t="str">
        <x:v>2030 Forward EV/EBITDA</x:v>
      </x:c>
      <x:c r="B8" s="97" t="n">
        <x:f>Multiples!B36</x:f>
        <x:v>36.06038362828037</x:v>
      </x:c>
      <x:c r="C8" s="97" t="n">
        <x:f>Multiples!C36</x:f>
        <x:v>72.31013309676686</x:v>
      </x:c>
      <x:c r="D8" s="97" t="n">
        <x:f>Multiples!D36</x:f>
        <x:v>114.05095885959165</x:v>
      </x:c>
    </x:row>
    <x:row r="9">
      <x:c r="A9" s="102" t="str">
        <x:v>Blended intrinsic value</x:v>
      </x:c>
      <x:c r="B9" s="103" t="n">
        <x:f>B5*B13+B6*B14+B7*B15+B8*B16</x:f>
        <x:v>35.91466877804137</x:v>
      </x:c>
      <x:c r="C9" s="103" t="n">
        <x:f>C5*C13+C6*C14+C7*C15+C8*C16</x:f>
        <x:v>70.32601734607262</x:v>
      </x:c>
      <x:c r="D9" s="103" t="n">
        <x:f>D5*D13+D6*D14+D7*D15+D8*D16</x:f>
        <x:v>115.78103949002501</x:v>
      </x:c>
    </x:row>
    <x:row r="12">
      <x:c r="A12" s="19" t="str">
        <x:v>Method weights</x:v>
      </x:c>
      <x:c r="B12" s="19" t="str">
        <x:v>Bear</x:v>
      </x:c>
      <x:c r="C12" s="19" t="str">
        <x:v>Base</x:v>
      </x:c>
      <x:c r="D12" s="19" t="str">
        <x:v>Bull</x:v>
      </x:c>
    </x:row>
    <x:row r="13">
      <x:c r="A13" t="str">
        <x:v>Asset SOTP</x:v>
      </x:c>
      <x:c r="B13" s="110" t="n">
        <x:v>0.4</x:v>
      </x:c>
      <x:c r="C13" s="110" t="n">
        <x:v>0.4</x:v>
      </x:c>
      <x:c r="D13" s="110" t="n">
        <x:v>0.4</x:v>
      </x:c>
    </x:row>
    <x:row r="14">
      <x:c r="A14" t="str">
        <x:v>2028 EV/EBITDA</x:v>
      </x:c>
      <x:c r="B14" s="110" t="n">
        <x:v>0.25</x:v>
      </x:c>
      <x:c r="C14" s="110" t="n">
        <x:v>0.25</x:v>
      </x:c>
      <x:c r="D14" s="110" t="n">
        <x:v>0.25</x:v>
      </x:c>
    </x:row>
    <x:row r="15">
      <x:c r="A15" t="str">
        <x:v>Equity FCF DCF</x:v>
      </x:c>
      <x:c r="B15" s="110" t="n">
        <x:v>0.2</x:v>
      </x:c>
      <x:c r="C15" s="110" t="n">
        <x:v>0.2</x:v>
      </x:c>
      <x:c r="D15" s="110" t="n">
        <x:v>0.2</x:v>
      </x:c>
    </x:row>
    <x:row r="16">
      <x:c r="A16" t="str">
        <x:v>2030 EV/EBITDA</x:v>
      </x:c>
      <x:c r="B16" s="110" t="n">
        <x:v>0.15</x:v>
      </x:c>
      <x:c r="C16" s="110" t="n">
        <x:v>0.15</x:v>
      </x:c>
      <x:c r="D16" s="110" t="n">
        <x:v>0.15</x:v>
      </x:c>
    </x:row>
    <x:row r="19">
      <x:c r="A19" s="49" t="str">
        <x:v>Current Price Comparison</x:v>
      </x:c>
      <x:c r="B19" s="49" t="str">
        <x:v>Current Price Comparison</x:v>
      </x:c>
      <x:c r="C19" s="49" t="str">
        <x:v>Current Price Comparison</x:v>
      </x:c>
      <x:c r="D19" s="49" t="str">
        <x:v>Current Price Comparison</x:v>
      </x:c>
    </x:row>
    <x:row r="20">
      <x:c r="A20" s="19" t="str">
        <x:v>Metric</x:v>
      </x:c>
      <x:c r="B20" s="19" t="str">
        <x:v>Bear</x:v>
      </x:c>
      <x:c r="C20" s="19" t="str">
        <x:v>Base</x:v>
      </x:c>
      <x:c r="D20" s="19" t="str">
        <x:v>Bull</x:v>
      </x:c>
    </x:row>
    <x:row r="21">
      <x:c r="A21" t="str">
        <x:v>Current ADR price (Aug 7)</x:v>
      </x:c>
      <x:c r="B21" s="97" t="n">
        <x:f>CapitalStructure!B10</x:f>
        <x:v>49.22</x:v>
      </x:c>
      <x:c r="C21" s="97" t="n">
        <x:f>CapitalStructure!B10</x:f>
        <x:v>49.22</x:v>
      </x:c>
      <x:c r="D21" s="97" t="n">
        <x:f>CapitalStructure!B10</x:f>
        <x:v>49.22</x:v>
      </x:c>
    </x:row>
    <x:row r="22">
      <x:c r="A22" t="str">
        <x:v>Upside / (downside)</x:v>
      </x:c>
      <x:c r="B22" s="46" t="n">
        <x:f>B9/B21-1</x:f>
        <x:v>-0.2703236737496675</x:v>
      </x:c>
      <x:c r="C22" s="46" t="n">
        <x:f>C9/C21-1</x:f>
        <x:v>0.4288097794813617</x:v>
      </x:c>
      <x:c r="D22" s="46" t="n">
        <x:f>D9/D21-1</x:f>
        <x:v>1.3523169339704393</x:v>
      </x:c>
    </x:row>
    <x:row r="25">
      <x:c r="A25" s="49" t="str">
        <x:v>Key Base Outputs</x:v>
      </x:c>
      <x:c r="B25" s="49" t="str">
        <x:v>Key Base Outputs</x:v>
      </x:c>
      <x:c r="C25" s="49" t="str">
        <x:v>Key Base Outputs</x:v>
      </x:c>
      <x:c r="D25" s="49" t="str">
        <x:v>Key Base Outputs</x:v>
      </x:c>
    </x:row>
    <x:row r="26">
      <x:c r="A26" s="19" t="str">
        <x:v>Metric</x:v>
      </x:c>
      <x:c r="B26" s="19" t="str">
        <x:v>Base</x:v>
      </x:c>
    </x:row>
    <x:row r="27">
      <x:c r="A27" t="str">
        <x:v>Current EV / 2026 EBITDA</x:v>
      </x:c>
      <x:c r="B27" s="112" t="n">
        <x:f>CapitalStructure!B13</x:f>
        <x:v>4.63064261191</x:v>
      </x:c>
    </x:row>
    <x:row r="28">
      <x:c r="A28" t="str">
        <x:v>2026 EBITDA ($bn)</x:v>
      </x:c>
      <x:c r="B28" s="97" t="n">
        <x:f>Forecast!B24</x:f>
        <x:v>6</x:v>
      </x:c>
    </x:row>
    <x:row r="29">
      <x:c r="A29" t="str">
        <x:v>2028 EBITDA ($bn)</x:v>
      </x:c>
      <x:c r="B29" s="97" t="n">
        <x:f>Forecast!D24</x:f>
        <x:v>9.4</x:v>
      </x:c>
    </x:row>
    <x:row r="30">
      <x:c r="A30" t="str">
        <x:v>2030 EBITDA ($bn)</x:v>
      </x:c>
      <x:c r="B30" s="97" t="n">
        <x:f>Forecast!F24</x:f>
        <x:v>11.3</x:v>
      </x:c>
    </x:row>
    <x:row r="31">
      <x:c r="A31" t="str">
        <x:v>2028 projected net debt ($bn)</x:v>
      </x:c>
      <x:c r="B31" s="97" t="n">
        <x:f>CapitalStructure!C18</x:f>
        <x:v>3.8</x:v>
      </x:c>
    </x:row>
    <x:row r="32">
      <x:c r="A32" t="str">
        <x:v>2030 projected net debt ($bn)</x:v>
      </x:c>
      <x:c r="B32" s="97" t="n">
        <x:f>CapitalStructure!C19</x:f>
        <x:v>1.2</x:v>
      </x:c>
    </x:row>
    <x:row r="33">
      <x:c r="A33" t="str">
        <x:v>Proved reserves (Mboe)</x:v>
      </x:c>
      <x:c r="B33" s="114" t="n">
        <x:f>Historical!C24</x:f>
        <x:v>1284</x:v>
      </x:c>
    </x:row>
    <x:row r="34">
      <x:c r="A34" t="str">
        <x:v>LNG option PV ($bn)</x:v>
      </x:c>
      <x:c r="B34" s="97" t="n">
        <x:f>Optionality!C13</x:f>
        <x:v>0.4728131890029909</x:v>
      </x:c>
    </x:row>
  </x:sheetData>
  <x:mergeCells>
    <x:mergeCell ref="A1:E1"/>
    <x:mergeCell ref="A2:E2"/>
    <x:mergeCell ref="A19:D19"/>
    <x:mergeCell ref="A25:D2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Base-Case Sensitivity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Brent, reserve-value assumptions, forward multiples and country discount rates are the principal drivers.</x:v>
      </x:c>
      <x:c r="B2" s="10"/>
      <x:c r="C2" s="10"/>
      <x:c r="D2" s="10"/>
      <x:c r="E2" s="10"/>
      <x:c r="F2" s="10"/>
      <x:c r="G2" s="10"/>
      <x:c r="H2" s="10"/>
    </x:row>
    <x:row r="4">
      <x:c r="A4" s="49" t="str">
        <x:v>2028 EV/EBITDA Value / ADR — Multiple vs Net Debt</x:v>
      </x:c>
      <x:c r="B4" s="49" t="str">
        <x:v>2028 EV/EBITDA Value / ADR — Multiple vs Net Debt</x:v>
      </x:c>
      <x:c r="C4" s="49" t="str">
        <x:v>2028 EV/EBITDA Value / ADR — Multiple vs Net Debt</x:v>
      </x:c>
      <x:c r="D4" s="49" t="str">
        <x:v>2028 EV/EBITDA Value / ADR — Multiple vs Net Debt</x:v>
      </x:c>
      <x:c r="E4" s="49" t="str">
        <x:v>2028 EV/EBITDA Value / ADR — Multiple vs Net Debt</x:v>
      </x:c>
      <x:c r="F4" s="49" t="str">
        <x:v>2028 EV/EBITDA Value / ADR — Multiple vs Net Debt</x:v>
      </x:c>
      <x:c r="G4" s="49" t="str">
        <x:v>2028 EV/EBITDA Value / ADR — Multiple vs Net Debt</x:v>
      </x:c>
      <x:c r="H4" s="49" t="str">
        <x:v>2028 EV/EBITDA Value / ADR — Multiple vs Net Debt</x:v>
      </x:c>
    </x:row>
    <x:row r="5">
      <x:c r="B5" s="76" t="n">
        <x:v>3.5</x:v>
      </x:c>
      <x:c r="C5" s="76" t="n">
        <x:v>4</x:v>
      </x:c>
      <x:c r="D5" s="76" t="n">
        <x:v>4.5</x:v>
      </x:c>
      <x:c r="E5" s="76" t="n">
        <x:v>4.75</x:v>
      </x:c>
      <x:c r="F5" s="76" t="n">
        <x:v>5</x:v>
      </x:c>
      <x:c r="G5" s="76" t="n">
        <x:v>5.5</x:v>
      </x:c>
    </x:row>
    <x:row r="6">
      <x:c r="A6" s="32" t="n">
        <x:v>2</x:v>
      </x:c>
      <x:c r="B6" s="97" t="n">
        <x:f>((Forecast!D24*B$5-$A6)/(1+13.5%)^2.4)*1000/CapitalStructure!$B$9</x:f>
        <x:v>57.973609269628874</x:v>
      </x:c>
      <x:c r="C6" s="97" t="n">
        <x:f>((Forecast!D24*C$5-$A6)/(1+13.5%)^2.4)*1000/CapitalStructure!$B$9</x:f>
        <x:v>66.79160161808376</x:v>
      </x:c>
      <x:c r="D6" s="97" t="n">
        <x:f>((Forecast!D24*D$5-$A6)/(1+13.5%)^2.4)*1000/CapitalStructure!$B$9</x:f>
        <x:v>75.60959396653865</x:v>
      </x:c>
      <x:c r="E6" s="97" t="n">
        <x:f>((Forecast!D24*E$5-$A6)/(1+13.5%)^2.4)*1000/CapitalStructure!$B$9</x:f>
        <x:v>80.01859014076608</x:v>
      </x:c>
      <x:c r="F6" s="97" t="n">
        <x:f>((Forecast!D24*F$5-$A6)/(1+13.5%)^2.4)*1000/CapitalStructure!$B$9</x:f>
        <x:v>84.42758631499352</x:v>
      </x:c>
      <x:c r="G6" s="97" t="n">
        <x:f>((Forecast!D24*G$5-$A6)/(1+13.5%)^2.4)*1000/CapitalStructure!$B$9</x:f>
        <x:v>93.24557866344838</x:v>
      </x:c>
    </x:row>
    <x:row r="7">
      <x:c r="A7" s="32" t="n">
        <x:v>3</x:v>
      </x:c>
      <x:c r="B7" s="97" t="n">
        <x:f>((Forecast!D24*B$5-$A7)/(1+13.5%)^2.4)*1000/CapitalStructure!$B$9</x:f>
        <x:v>56.097440684851236</x:v>
      </x:c>
      <x:c r="C7" s="97" t="n">
        <x:f>((Forecast!D24*C$5-$A7)/(1+13.5%)^2.4)*1000/CapitalStructure!$B$9</x:f>
        <x:v>64.91543303330613</x:v>
      </x:c>
      <x:c r="D7" s="97" t="n">
        <x:f>((Forecast!D24*D$5-$A7)/(1+13.5%)^2.4)*1000/CapitalStructure!$B$9</x:f>
        <x:v>73.73342538176101</x:v>
      </x:c>
      <x:c r="E7" s="97" t="n">
        <x:f>((Forecast!D24*E$5-$A7)/(1+13.5%)^2.4)*1000/CapitalStructure!$B$9</x:f>
        <x:v>78.14242155598843</x:v>
      </x:c>
      <x:c r="F7" s="97" t="n">
        <x:f>((Forecast!D24*F$5-$A7)/(1+13.5%)^2.4)*1000/CapitalStructure!$B$9</x:f>
        <x:v>82.55141773021587</x:v>
      </x:c>
      <x:c r="G7" s="97" t="n">
        <x:f>((Forecast!D24*G$5-$A7)/(1+13.5%)^2.4)*1000/CapitalStructure!$B$9</x:f>
        <x:v>91.36941007867077</x:v>
      </x:c>
    </x:row>
    <x:row r="8">
      <x:c r="A8" s="32" t="n">
        <x:v>4</x:v>
      </x:c>
      <x:c r="B8" s="97" t="n">
        <x:f>((Forecast!D24*B$5-$A8)/(1+13.5%)^2.4)*1000/CapitalStructure!$B$9</x:f>
        <x:v>54.221272100073605</x:v>
      </x:c>
      <x:c r="C8" s="97" t="n">
        <x:f>((Forecast!D24*C$5-$A8)/(1+13.5%)^2.4)*1000/CapitalStructure!$B$9</x:f>
        <x:v>63.03926444852849</x:v>
      </x:c>
      <x:c r="D8" s="97" t="n">
        <x:f>((Forecast!D24*D$5-$A8)/(1+13.5%)^2.4)*1000/CapitalStructure!$B$9</x:f>
        <x:v>71.85725679698338</x:v>
      </x:c>
      <x:c r="E8" s="97" t="n">
        <x:f>((Forecast!D24*E$5-$A8)/(1+13.5%)^2.4)*1000/CapitalStructure!$B$9</x:f>
        <x:v>76.26625297121079</x:v>
      </x:c>
      <x:c r="F8" s="97" t="n">
        <x:f>((Forecast!D24*F$5-$A8)/(1+13.5%)^2.4)*1000/CapitalStructure!$B$9</x:f>
        <x:v>80.67524914543824</x:v>
      </x:c>
      <x:c r="G8" s="97" t="n">
        <x:f>((Forecast!D24*G$5-$A8)/(1+13.5%)^2.4)*1000/CapitalStructure!$B$9</x:f>
        <x:v>89.49324149389314</x:v>
      </x:c>
    </x:row>
    <x:row r="9">
      <x:c r="A9" s="32" t="n">
        <x:v>5</x:v>
      </x:c>
      <x:c r="B9" s="97" t="n">
        <x:f>((Forecast!D24*B$5-$A9)/(1+13.5%)^2.4)*1000/CapitalStructure!$B$9</x:f>
        <x:v>52.345103515295975</x:v>
      </x:c>
      <x:c r="C9" s="97" t="n">
        <x:f>((Forecast!D24*C$5-$A9)/(1+13.5%)^2.4)*1000/CapitalStructure!$B$9</x:f>
        <x:v>61.163095863750854</x:v>
      </x:c>
      <x:c r="D9" s="97" t="n">
        <x:f>((Forecast!D24*D$5-$A9)/(1+13.5%)^2.4)*1000/CapitalStructure!$B$9</x:f>
        <x:v>69.98108821220573</x:v>
      </x:c>
      <x:c r="E9" s="97" t="n">
        <x:f>((Forecast!D24*E$5-$A9)/(1+13.5%)^2.4)*1000/CapitalStructure!$B$9</x:f>
        <x:v>74.39008438643317</x:v>
      </x:c>
      <x:c r="F9" s="97" t="n">
        <x:f>((Forecast!D24*F$5-$A9)/(1+13.5%)^2.4)*1000/CapitalStructure!$B$9</x:f>
        <x:v>78.79908056066061</x:v>
      </x:c>
      <x:c r="G9" s="97" t="n">
        <x:f>((Forecast!D24*G$5-$A9)/(1+13.5%)^2.4)*1000/CapitalStructure!$B$9</x:f>
        <x:v>87.61707290911548</x:v>
      </x:c>
    </x:row>
    <x:row r="10">
      <x:c r="A10" s="32" t="n">
        <x:v>6</x:v>
      </x:c>
      <x:c r="B10" s="97" t="n">
        <x:f>((Forecast!D24*B$5-$A10)/(1+13.5%)^2.4)*1000/CapitalStructure!$B$9</x:f>
        <x:v>50.468934930518344</x:v>
      </x:c>
      <x:c r="C10" s="97" t="n">
        <x:f>((Forecast!D24*C$5-$A10)/(1+13.5%)^2.4)*1000/CapitalStructure!$B$9</x:f>
        <x:v>59.28692727897323</x:v>
      </x:c>
      <x:c r="D10" s="97" t="n">
        <x:f>((Forecast!D24*D$5-$A10)/(1+13.5%)^2.4)*1000/CapitalStructure!$B$9</x:f>
        <x:v>68.10491962742812</x:v>
      </x:c>
      <x:c r="E10" s="97" t="n">
        <x:f>((Forecast!D24*E$5-$A10)/(1+13.5%)^2.4)*1000/CapitalStructure!$B$9</x:f>
        <x:v>72.51391580165553</x:v>
      </x:c>
      <x:c r="F10" s="97" t="n">
        <x:f>((Forecast!D24*F$5-$A10)/(1+13.5%)^2.4)*1000/CapitalStructure!$B$9</x:f>
        <x:v>76.92291197588297</x:v>
      </x:c>
      <x:c r="G10" s="97" t="n">
        <x:f>((Forecast!D24*G$5-$A10)/(1+13.5%)^2.4)*1000/CapitalStructure!$B$9</x:f>
        <x:v>85.74090432433785</x:v>
      </x:c>
    </x:row>
    <x:row r="11">
      <x:c r="A11" s="32" t="n">
        <x:v>7</x:v>
      </x:c>
      <x:c r="B11" s="97" t="n">
        <x:f>((Forecast!D24*B$5-$A11)/(1+13.5%)^2.4)*1000/CapitalStructure!$B$9</x:f>
        <x:v>48.59276634574071</x:v>
      </x:c>
      <x:c r="C11" s="97" t="n">
        <x:f>((Forecast!D24*C$5-$A11)/(1+13.5%)^2.4)*1000/CapitalStructure!$B$9</x:f>
        <x:v>57.41075869419559</x:v>
      </x:c>
      <x:c r="D11" s="97" t="n">
        <x:f>((Forecast!D24*D$5-$A11)/(1+13.5%)^2.4)*1000/CapitalStructure!$B$9</x:f>
        <x:v>66.22875104265047</x:v>
      </x:c>
      <x:c r="E11" s="97" t="n">
        <x:f>((Forecast!D24*E$5-$A11)/(1+13.5%)^2.4)*1000/CapitalStructure!$B$9</x:f>
        <x:v>70.63774721687791</x:v>
      </x:c>
      <x:c r="F11" s="97" t="n">
        <x:f>((Forecast!D24*F$5-$A11)/(1+13.5%)^2.4)*1000/CapitalStructure!$B$9</x:f>
        <x:v>75.04674339110535</x:v>
      </x:c>
      <x:c r="G11" s="97" t="n">
        <x:f>((Forecast!D24*G$5-$A11)/(1+13.5%)^2.4)*1000/CapitalStructure!$B$9</x:f>
        <x:v>83.86473573956023</x:v>
      </x:c>
    </x:row>
    <x:row r="14">
      <x:c r="A14" s="49" t="str">
        <x:v>Asset SOTP Value / ADR — Reserve $/boe vs M&amp;D Multiple</x:v>
      </x:c>
      <x:c r="B14" s="49" t="str">
        <x:v>Asset SOTP Value / ADR — Reserve $/boe vs M&amp;D Multiple</x:v>
      </x:c>
      <x:c r="C14" s="49" t="str">
        <x:v>Asset SOTP Value / ADR — Reserve $/boe vs M&amp;D Multiple</x:v>
      </x:c>
      <x:c r="D14" s="49" t="str">
        <x:v>Asset SOTP Value / ADR — Reserve $/boe vs M&amp;D Multiple</x:v>
      </x:c>
      <x:c r="E14" s="49" t="str">
        <x:v>Asset SOTP Value / ADR — Reserve $/boe vs M&amp;D Multiple</x:v>
      </x:c>
      <x:c r="F14" s="49" t="str">
        <x:v>Asset SOTP Value / ADR — Reserve $/boe vs M&amp;D Multiple</x:v>
      </x:c>
      <x:c r="G14" s="49" t="str">
        <x:v>Asset SOTP Value / ADR — Reserve $/boe vs M&amp;D Multiple</x:v>
      </x:c>
      <x:c r="H14" s="49" t="str">
        <x:v>Asset SOTP Value / ADR — Reserve $/boe vs M&amp;D Multiple</x:v>
      </x:c>
    </x:row>
    <x:row r="15">
      <x:c r="B15" s="40" t="n">
        <x:v>14</x:v>
      </x:c>
      <x:c r="C15" s="40" t="n">
        <x:v>17</x:v>
      </x:c>
      <x:c r="D15" s="40" t="n">
        <x:v>20</x:v>
      </x:c>
      <x:c r="E15" s="40" t="n">
        <x:v>23</x:v>
      </x:c>
      <x:c r="F15" s="40" t="n">
        <x:v>26</x:v>
      </x:c>
      <x:c r="G15" s="40" t="n">
        <x:v>29</x:v>
      </x:c>
    </x:row>
    <x:row r="16">
      <x:c r="A16" s="76" t="n">
        <x:v>3</x:v>
      </x:c>
      <x:c r="B16" s="97" t="n">
        <x:f>((1.284*B$15)+(2.4*$A16)+1.0+Optionality!$C$13-1.8-CapitalStructure!$B$7)*1000/CapitalStructure!$B$9</x:f>
        <x:v>41.75763789357085</x:v>
      </x:c>
      <x:c r="C16" s="97" t="n">
        <x:f>((1.284*C$15)+(2.4*$A16)+1.0+Optionality!$C$13-1.8-CapitalStructure!$B$7)*1000/CapitalStructure!$B$9</x:f>
        <x:v>51.551369672847095</x:v>
      </x:c>
      <x:c r="D16" s="97" t="n">
        <x:f>((1.284*D$15)+(2.4*$A16)+1.0+Optionality!$C$13-1.8-CapitalStructure!$B$7)*1000/CapitalStructure!$B$9</x:f>
        <x:v>61.345101452123345</x:v>
      </x:c>
      <x:c r="E16" s="97" t="n">
        <x:f>((1.284*E$15)+(2.4*$A16)+1.0+Optionality!$C$13-1.8-CapitalStructure!$B$7)*1000/CapitalStructure!$B$9</x:f>
        <x:v>71.1388332313996</x:v>
      </x:c>
      <x:c r="F16" s="97" t="n">
        <x:f>((1.284*F$15)+(2.4*$A16)+1.0+Optionality!$C$13-1.8-CapitalStructure!$B$7)*1000/CapitalStructure!$B$9</x:f>
        <x:v>80.93256501067586</x:v>
      </x:c>
      <x:c r="G16" s="97" t="n">
        <x:f>((1.284*G$15)+(2.4*$A16)+1.0+Optionality!$C$13-1.8-CapitalStructure!$B$7)*1000/CapitalStructure!$B$9</x:f>
        <x:v>90.72629678995213</x:v>
      </x:c>
    </x:row>
    <x:row r="17">
      <x:c r="A17" s="76" t="n">
        <x:v>3.5</x:v>
      </x:c>
      <x:c r="B17" s="97" t="n">
        <x:f>((1.284*B$15)+(2.4*$A17)+1.0+Optionality!$C$13-1.8-CapitalStructure!$B$7)*1000/CapitalStructure!$B$9</x:f>
        <x:v>44.808644678392106</x:v>
      </x:c>
      <x:c r="C17" s="97" t="n">
        <x:f>((1.284*C$15)+(2.4*$A17)+1.0+Optionality!$C$13-1.8-CapitalStructure!$B$7)*1000/CapitalStructure!$B$9</x:f>
        <x:v>54.60237645766836</x:v>
      </x:c>
      <x:c r="D17" s="97" t="n">
        <x:f>((1.284*D$15)+(2.4*$A17)+1.0+Optionality!$C$13-1.8-CapitalStructure!$B$7)*1000/CapitalStructure!$B$9</x:f>
        <x:v>64.39610823694461</x:v>
      </x:c>
      <x:c r="E17" s="97" t="n">
        <x:f>((1.284*E$15)+(2.4*$A17)+1.0+Optionality!$C$13-1.8-CapitalStructure!$B$7)*1000/CapitalStructure!$B$9</x:f>
        <x:v>74.18984001622087</x:v>
      </x:c>
      <x:c r="F17" s="97" t="n">
        <x:f>((1.284*F$15)+(2.4*$A17)+1.0+Optionality!$C$13-1.8-CapitalStructure!$B$7)*1000/CapitalStructure!$B$9</x:f>
        <x:v>83.9835717954971</x:v>
      </x:c>
      <x:c r="G17" s="97" t="n">
        <x:f>((1.284*G$15)+(2.4*$A17)+1.0+Optionality!$C$13-1.8-CapitalStructure!$B$7)*1000/CapitalStructure!$B$9</x:f>
        <x:v>93.77730357477336</x:v>
      </x:c>
    </x:row>
    <x:row r="18">
      <x:c r="A18" s="76" t="n">
        <x:v>4</x:v>
      </x:c>
      <x:c r="B18" s="97" t="n">
        <x:f>((1.284*B$15)+(2.4*$A18)+1.0+Optionality!$C$13-1.8-CapitalStructure!$B$7)*1000/CapitalStructure!$B$9</x:f>
        <x:v>47.85965146321338</x:v>
      </x:c>
      <x:c r="C18" s="97" t="n">
        <x:f>((1.284*C$15)+(2.4*$A18)+1.0+Optionality!$C$13-1.8-CapitalStructure!$B$7)*1000/CapitalStructure!$B$9</x:f>
        <x:v>57.65338324248962</x:v>
      </x:c>
      <x:c r="D18" s="97" t="n">
        <x:f>((1.284*D$15)+(2.4*$A18)+1.0+Optionality!$C$13-1.8-CapitalStructure!$B$7)*1000/CapitalStructure!$B$9</x:f>
        <x:v>67.44711502176588</x:v>
      </x:c>
      <x:c r="E18" s="97" t="n">
        <x:f>((1.284*E$15)+(2.4*$A18)+1.0+Optionality!$C$13-1.8-CapitalStructure!$B$7)*1000/CapitalStructure!$B$9</x:f>
        <x:v>77.24084680104212</x:v>
      </x:c>
      <x:c r="F18" s="97" t="n">
        <x:f>((1.284*F$15)+(2.4*$A18)+1.0+Optionality!$C$13-1.8-CapitalStructure!$B$7)*1000/CapitalStructure!$B$9</x:f>
        <x:v>87.03457858031837</x:v>
      </x:c>
      <x:c r="G18" s="97" t="n">
        <x:f>((1.284*G$15)+(2.4*$A18)+1.0+Optionality!$C$13-1.8-CapitalStructure!$B$7)*1000/CapitalStructure!$B$9</x:f>
        <x:v>96.82831035959462</x:v>
      </x:c>
    </x:row>
    <x:row r="19">
      <x:c r="A19" s="76" t="n">
        <x:v>4.5</x:v>
      </x:c>
      <x:c r="B19" s="97" t="n">
        <x:f>((1.284*B$15)+(2.4*$A19)+1.0+Optionality!$C$13-1.8-CapitalStructure!$B$7)*1000/CapitalStructure!$B$9</x:f>
        <x:v>50.91065824803463</x:v>
      </x:c>
      <x:c r="C19" s="97" t="n">
        <x:f>((1.284*C$15)+(2.4*$A19)+1.0+Optionality!$C$13-1.8-CapitalStructure!$B$7)*1000/CapitalStructure!$B$9</x:f>
        <x:v>60.70439002731089</x:v>
      </x:c>
      <x:c r="D19" s="97" t="n">
        <x:f>((1.284*D$15)+(2.4*$A19)+1.0+Optionality!$C$13-1.8-CapitalStructure!$B$7)*1000/CapitalStructure!$B$9</x:f>
        <x:v>70.49812180658714</x:v>
      </x:c>
      <x:c r="E19" s="97" t="n">
        <x:f>((1.284*E$15)+(2.4*$A19)+1.0+Optionality!$C$13-1.8-CapitalStructure!$B$7)*1000/CapitalStructure!$B$9</x:f>
        <x:v>80.2918535858634</x:v>
      </x:c>
      <x:c r="F19" s="97" t="n">
        <x:f>((1.284*F$15)+(2.4*$A19)+1.0+Optionality!$C$13-1.8-CapitalStructure!$B$7)*1000/CapitalStructure!$B$9</x:f>
        <x:v>90.08558536513965</x:v>
      </x:c>
      <x:c r="G19" s="97" t="n">
        <x:f>((1.284*G$15)+(2.4*$A19)+1.0+Optionality!$C$13-1.8-CapitalStructure!$B$7)*1000/CapitalStructure!$B$9</x:f>
        <x:v>99.8793171444159</x:v>
      </x:c>
    </x:row>
    <x:row r="20">
      <x:c r="A20" s="76" t="n">
        <x:v>5</x:v>
      </x:c>
      <x:c r="B20" s="97" t="n">
        <x:f>((1.284*B$15)+(2.4*$A20)+1.0+Optionality!$C$13-1.8-CapitalStructure!$B$7)*1000/CapitalStructure!$B$9</x:f>
        <x:v>53.9616650328559</x:v>
      </x:c>
      <x:c r="C20" s="97" t="n">
        <x:f>((1.284*C$15)+(2.4*$A20)+1.0+Optionality!$C$13-1.8-CapitalStructure!$B$7)*1000/CapitalStructure!$B$9</x:f>
        <x:v>63.75539681213216</x:v>
      </x:c>
      <x:c r="D20" s="97" t="n">
        <x:f>((1.284*D$15)+(2.4*$A20)+1.0+Optionality!$C$13-1.8-CapitalStructure!$B$7)*1000/CapitalStructure!$B$9</x:f>
        <x:v>73.5491285914084</x:v>
      </x:c>
      <x:c r="E20" s="97" t="n">
        <x:f>((1.284*E$15)+(2.4*$A20)+1.0+Optionality!$C$13-1.8-CapitalStructure!$B$7)*1000/CapitalStructure!$B$9</x:f>
        <x:v>83.34286037068463</x:v>
      </x:c>
      <x:c r="F20" s="97" t="n">
        <x:f>((1.284*F$15)+(2.4*$A20)+1.0+Optionality!$C$13-1.8-CapitalStructure!$B$7)*1000/CapitalStructure!$B$9</x:f>
        <x:v>93.1365921499609</x:v>
      </x:c>
      <x:c r="G20" s="97" t="n">
        <x:f>((1.284*G$15)+(2.4*$A20)+1.0+Optionality!$C$13-1.8-CapitalStructure!$B$7)*1000/CapitalStructure!$B$9</x:f>
        <x:v>102.93032392923715</x:v>
      </x:c>
    </x:row>
    <x:row r="23">
      <x:c r="A23" s="49" t="str">
        <x:v>Equity FCF DCF Value / ADR — Cost of Equity vs Terminal Growth</x:v>
      </x:c>
      <x:c r="B23" s="49" t="str">
        <x:v>Equity FCF DCF Value / ADR — Cost of Equity vs Terminal Growth</x:v>
      </x:c>
      <x:c r="C23" s="49" t="str">
        <x:v>Equity FCF DCF Value / ADR — Cost of Equity vs Terminal Growth</x:v>
      </x:c>
      <x:c r="D23" s="49" t="str">
        <x:v>Equity FCF DCF Value / ADR — Cost of Equity vs Terminal Growth</x:v>
      </x:c>
      <x:c r="E23" s="49" t="str">
        <x:v>Equity FCF DCF Value / ADR — Cost of Equity vs Terminal Growth</x:v>
      </x:c>
      <x:c r="F23" s="49" t="str">
        <x:v>Equity FCF DCF Value / ADR — Cost of Equity vs Terminal Growth</x:v>
      </x:c>
      <x:c r="G23" s="49" t="str">
        <x:v>Equity FCF DCF Value / ADR — Cost of Equity vs Terminal Growth</x:v>
      </x:c>
      <x:c r="H23" s="49" t="str">
        <x:v>Equity FCF DCF Value / ADR — Cost of Equity vs Terminal Growth</x:v>
      </x:c>
    </x:row>
    <x:row r="24">
      <x:c r="B24" s="34" t="n">
        <x:v>0</x:v>
      </x:c>
      <x:c r="C24" s="34" t="n">
        <x:v>0.005</x:v>
      </x:c>
      <x:c r="D24" s="34" t="n">
        <x:v>0.01</x:v>
      </x:c>
      <x:c r="E24" s="34" t="n">
        <x:v>0.015</x:v>
      </x:c>
      <x:c r="F24" s="34" t="n">
        <x:v>0.02</x:v>
      </x:c>
    </x:row>
    <x:row r="25">
      <x:c r="A25" s="34" t="n">
        <x:v>0.12</x:v>
      </x:c>
      <x:c r="B25" s="97" t="n">
        <x:f>((Forecast!B27/(1+$A25)^0.4+Forecast!C27/(1+$A25)^1.4+Forecast!D27/(1+$A25)^2.4+Forecast!E27/(1+$A25)^3.4+Forecast!F27/(1+$A25)^4.4+Forecast!G27/(1+$A25)^5.4+Forecast!H27/(1+$A25)^6.4+Forecast!I27/(1+$A25)^7.4+Forecast!J27/(1+$A25)^8.4+Forecast!K27/(1+$A25)^9.4)+(Forecast!K27*(1+B$24)/($A25-B$24))/(1+$A25)^9.4)*1000/CapitalStructure!$B$9</x:f>
        <x:v>75.87445576875322</x:v>
      </x:c>
      <x:c r="C25" s="97" t="n">
        <x:f>((Forecast!B27/(1+$A25)^0.4+Forecast!C27/(1+$A25)^1.4+Forecast!D27/(1+$A25)^2.4+Forecast!E27/(1+$A25)^3.4+Forecast!F27/(1+$A25)^4.4+Forecast!G27/(1+$A25)^5.4+Forecast!H27/(1+$A25)^6.4+Forecast!I27/(1+$A25)^7.4+Forecast!J27/(1+$A25)^8.4+Forecast!K27/(1+$A25)^9.4)+(Forecast!K27*(1+C$24)/($A25-C$24))/(1+$A25)^9.4)*1000/CapitalStructure!$B$9</x:f>
        <x:v>77.47450729592404</x:v>
      </x:c>
      <x:c r="D25" s="97" t="n">
        <x:f>((Forecast!B27/(1+$A25)^0.4+Forecast!C27/(1+$A25)^1.4+Forecast!D27/(1+$A25)^2.4+Forecast!E27/(1+$A25)^3.4+Forecast!F27/(1+$A25)^4.4+Forecast!G27/(1+$A25)^5.4+Forecast!H27/(1+$A25)^6.4+Forecast!I27/(1+$A25)^7.4+Forecast!J27/(1+$A25)^8.4+Forecast!K27/(1+$A25)^9.4)+(Forecast!K27*(1+D$24)/($A25-D$24))/(1+$A25)^9.4)*1000/CapitalStructure!$B$9</x:f>
        <x:v>79.22001805283764</x:v>
      </x:c>
      <x:c r="E25" s="97" t="n">
        <x:f>((Forecast!B27/(1+$A25)^0.4+Forecast!C27/(1+$A25)^1.4+Forecast!D27/(1+$A25)^2.4+Forecast!E27/(1+$A25)^3.4+Forecast!F27/(1+$A25)^4.4+Forecast!G27/(1+$A25)^5.4+Forecast!H27/(1+$A25)^6.4+Forecast!I27/(1+$A25)^7.4+Forecast!J27/(1+$A25)^8.4+Forecast!K27/(1+$A25)^9.4)+(Forecast!K27*(1+E$24)/($A25-E$24))/(1+$A25)^9.4)*1000/CapitalStructure!$B$9</x:f>
        <x:v>81.13176792945731</x:v>
      </x:c>
      <x:c r="F25" s="97" t="n">
        <x:f>((Forecast!B27/(1+$A25)^0.4+Forecast!C27/(1+$A25)^1.4+Forecast!D27/(1+$A25)^2.4+Forecast!E27/(1+$A25)^3.4+Forecast!F27/(1+$A25)^4.4+Forecast!G27/(1+$A25)^5.4+Forecast!H27/(1+$A25)^6.4+Forecast!I27/(1+$A25)^7.4+Forecast!J27/(1+$A25)^8.4+Forecast!K27/(1+$A25)^9.4)+(Forecast!K27*(1+F$24)/($A25-F$24))/(1+$A25)^9.4)*1000/CapitalStructure!$B$9</x:f>
        <x:v>83.23469279373896</x:v>
      </x:c>
    </x:row>
    <x:row r="26">
      <x:c r="A26" s="34" t="n">
        <x:v>0.13</x:v>
      </x:c>
      <x:c r="B26" s="97" t="n">
        <x:f>((Forecast!B27/(1+$A26)^0.4+Forecast!C27/(1+$A26)^1.4+Forecast!D27/(1+$A26)^2.4+Forecast!E27/(1+$A26)^3.4+Forecast!F27/(1+$A26)^4.4+Forecast!G27/(1+$A26)^5.4+Forecast!H27/(1+$A26)^6.4+Forecast!I27/(1+$A26)^7.4+Forecast!J27/(1+$A26)^8.4+Forecast!K27/(1+$A26)^9.4)+(Forecast!K27*(1+B$24)/($A26-B$24))/(1+$A26)^9.4)*1000/CapitalStructure!$B$9</x:f>
        <x:v>68.94667724291293</x:v>
      </x:c>
      <x:c r="C26" s="97" t="n">
        <x:f>((Forecast!B27/(1+$A26)^0.4+Forecast!C27/(1+$A26)^1.4+Forecast!D27/(1+$A26)^2.4+Forecast!E27/(1+$A26)^3.4+Forecast!F27/(1+$A26)^4.4+Forecast!G27/(1+$A26)^5.4+Forecast!H27/(1+$A26)^6.4+Forecast!I27/(1+$A26)^7.4+Forecast!J27/(1+$A26)^8.4+Forecast!K27/(1+$A26)^9.4)+(Forecast!K27*(1+C$24)/($A26-C$24))/(1+$A26)^9.4)*1000/CapitalStructure!$B$9</x:f>
        <x:v>70.20772680283709</x:v>
      </x:c>
      <x:c r="D26" s="97" t="n">
        <x:f>((Forecast!B27/(1+$A26)^0.4+Forecast!C27/(1+$A26)^1.4+Forecast!D27/(1+$A26)^2.4+Forecast!E27/(1+$A26)^3.4+Forecast!F27/(1+$A26)^4.4+Forecast!G27/(1+$A26)^5.4+Forecast!H27/(1+$A26)^6.4+Forecast!I27/(1+$A26)^7.4+Forecast!J27/(1+$A26)^8.4+Forecast!K27/(1+$A26)^9.4)+(Forecast!K27*(1+D$24)/($A26-D$24))/(1+$A26)^9.4)*1000/CapitalStructure!$B$9</x:f>
        <x:v>71.57386382608824</x:v>
      </x:c>
      <x:c r="E26" s="97" t="n">
        <x:f>((Forecast!B27/(1+$A26)^0.4+Forecast!C27/(1+$A26)^1.4+Forecast!D27/(1+$A26)^2.4+Forecast!E27/(1+$A26)^3.4+Forecast!F27/(1+$A26)^4.4+Forecast!G27/(1+$A26)^5.4+Forecast!H27/(1+$A26)^6.4+Forecast!I27/(1+$A26)^7.4+Forecast!J27/(1+$A26)^8.4+Forecast!K27/(1+$A26)^9.4)+(Forecast!K27*(1+E$24)/($A26-E$24))/(1+$A26)^9.4)*1000/CapitalStructure!$B$9</x:f>
        <x:v>73.0587953731004</x:v>
      </x:c>
      <x:c r="F26" s="97" t="n">
        <x:f>((Forecast!B27/(1+$A26)^0.4+Forecast!C27/(1+$A26)^1.4+Forecast!D27/(1+$A26)^2.4+Forecast!E27/(1+$A26)^3.4+Forecast!F27/(1+$A26)^4.4+Forecast!G27/(1+$A26)^5.4+Forecast!H27/(1+$A26)^6.4+Forecast!I27/(1+$A26)^7.4+Forecast!J27/(1+$A26)^8.4+Forecast!K27/(1+$A26)^9.4)+(Forecast!K27*(1+F$24)/($A26-F$24))/(1+$A26)^9.4)*1000/CapitalStructure!$B$9</x:f>
        <x:v>74.67872069711363</x:v>
      </x:c>
    </x:row>
    <x:row r="27">
      <x:c r="A27" s="34" t="n">
        <x:v>0.14</x:v>
      </x:c>
      <x:c r="B27" s="97" t="n">
        <x:f>((Forecast!B27/(1+$A27)^0.4+Forecast!C27/(1+$A27)^1.4+Forecast!D27/(1+$A27)^2.4+Forecast!E27/(1+$A27)^3.4+Forecast!F27/(1+$A27)^4.4+Forecast!G27/(1+$A27)^5.4+Forecast!H27/(1+$A27)^6.4+Forecast!I27/(1+$A27)^7.4+Forecast!J27/(1+$A27)^8.4+Forecast!K27/(1+$A27)^9.4)+(Forecast!K27*(1+B$24)/($A27-B$24))/(1+$A27)^9.4)*1000/CapitalStructure!$B$9</x:f>
        <x:v>63.051295161189586</x:v>
      </x:c>
      <x:c r="C27" s="97" t="n">
        <x:f>((Forecast!B27/(1+$A27)^0.4+Forecast!C27/(1+$A27)^1.4+Forecast!D27/(1+$A27)^2.4+Forecast!E27/(1+$A27)^3.4+Forecast!F27/(1+$A27)^4.4+Forecast!G27/(1+$A27)^5.4+Forecast!H27/(1+$A27)^6.4+Forecast!I27/(1+$A27)^7.4+Forecast!J27/(1+$A27)^8.4+Forecast!K27/(1+$A27)^9.4)+(Forecast!K27*(1+C$24)/($A27-C$24))/(1+$A27)^9.4)*1000/CapitalStructure!$B$9</x:f>
        <x:v>64.05818484226151</x:v>
      </x:c>
      <x:c r="D27" s="97" t="n">
        <x:f>((Forecast!B27/(1+$A27)^0.4+Forecast!C27/(1+$A27)^1.4+Forecast!D27/(1+$A27)^2.4+Forecast!E27/(1+$A27)^3.4+Forecast!F27/(1+$A27)^4.4+Forecast!G27/(1+$A27)^5.4+Forecast!H27/(1+$A27)^6.4+Forecast!I27/(1+$A27)^7.4+Forecast!J27/(1+$A27)^8.4+Forecast!K27/(1+$A27)^9.4)+(Forecast!K27*(1+D$24)/($A27-D$24))/(1+$A27)^9.4)*1000/CapitalStructure!$B$9</x:f>
        <x:v>65.14252757572358</x:v>
      </x:c>
      <x:c r="E27" s="97" t="n">
        <x:f>((Forecast!B27/(1+$A27)^0.4+Forecast!C27/(1+$A27)^1.4+Forecast!D27/(1+$A27)^2.4+Forecast!E27/(1+$A27)^3.4+Forecast!F27/(1+$A27)^4.4+Forecast!G27/(1+$A27)^5.4+Forecast!H27/(1+$A27)^6.4+Forecast!I27/(1+$A27)^7.4+Forecast!J27/(1+$A27)^8.4+Forecast!K27/(1+$A27)^9.4)+(Forecast!K27*(1+E$24)/($A27-E$24))/(1+$A27)^9.4)*1000/CapitalStructure!$B$9</x:f>
        <x:v>66.31361772786262</x:v>
      </x:c>
      <x:c r="F27" s="97" t="n">
        <x:f>((Forecast!B27/(1+$A27)^0.4+Forecast!C27/(1+$A27)^1.4+Forecast!D27/(1+$A27)^2.4+Forecast!E27/(1+$A27)^3.4+Forecast!F27/(1+$A27)^4.4+Forecast!G27/(1+$A27)^5.4+Forecast!H27/(1+$A27)^6.4+Forecast!I27/(1+$A27)^7.4+Forecast!J27/(1+$A27)^8.4+Forecast!K27/(1+$A27)^9.4)+(Forecast!K27*(1+F$24)/($A27-F$24))/(1+$A27)^9.4)*1000/CapitalStructure!$B$9</x:f>
        <x:v>67.58229872601326</x:v>
      </x:c>
    </x:row>
    <x:row r="28">
      <x:c r="A28" s="34" t="n">
        <x:v>0.15</x:v>
      </x:c>
      <x:c r="B28" s="97" t="n">
        <x:f>((Forecast!B27/(1+$A28)^0.4+Forecast!C27/(1+$A28)^1.4+Forecast!D27/(1+$A28)^2.4+Forecast!E27/(1+$A28)^3.4+Forecast!F27/(1+$A28)^4.4+Forecast!G27/(1+$A28)^5.4+Forecast!H27/(1+$A28)^6.4+Forecast!I27/(1+$A28)^7.4+Forecast!J27/(1+$A28)^8.4+Forecast!K27/(1+$A28)^9.4)+(Forecast!K27*(1+B$24)/($A28-B$24))/(1+$A28)^9.4)*1000/CapitalStructure!$B$9</x:f>
        <x:v>57.97957095370432</x:v>
      </x:c>
      <x:c r="C28" s="97" t="n">
        <x:f>((Forecast!B27/(1+$A28)^0.4+Forecast!C27/(1+$A28)^1.4+Forecast!D27/(1+$A28)^2.4+Forecast!E27/(1+$A28)^3.4+Forecast!F27/(1+$A28)^4.4+Forecast!G27/(1+$A28)^5.4+Forecast!H27/(1+$A28)^6.4+Forecast!I27/(1+$A28)^7.4+Forecast!J27/(1+$A28)^8.4+Forecast!K27/(1+$A28)^9.4)+(Forecast!K27*(1+C$24)/($A28-C$24))/(1+$A28)^9.4)*1000/CapitalStructure!$B$9</x:f>
        <x:v>58.79263231955223</x:v>
      </x:c>
      <x:c r="D28" s="97" t="n">
        <x:f>((Forecast!B27/(1+$A28)^0.4+Forecast!C27/(1+$A28)^1.4+Forecast!D27/(1+$A28)^2.4+Forecast!E27/(1+$A28)^3.4+Forecast!F27/(1+$A28)^4.4+Forecast!G27/(1+$A28)^5.4+Forecast!H27/(1+$A28)^6.4+Forecast!I27/(1+$A28)^7.4+Forecast!J27/(1+$A28)^8.4+Forecast!K27/(1+$A28)^9.4)+(Forecast!K27*(1+D$24)/($A28-D$24))/(1+$A28)^9.4)*1000/CapitalStructure!$B$9</x:f>
        <x:v>59.66376949724644</x:v>
      </x:c>
      <x:c r="E28" s="97" t="n">
        <x:f>((Forecast!B27/(1+$A28)^0.4+Forecast!C27/(1+$A28)^1.4+Forecast!D27/(1+$A28)^2.4+Forecast!E27/(1+$A28)^3.4+Forecast!F27/(1+$A28)^4.4+Forecast!G27/(1+$A28)^5.4+Forecast!H27/(1+$A28)^6.4+Forecast!I27/(1+$A28)^7.4+Forecast!J27/(1+$A28)^8.4+Forecast!K27/(1+$A28)^9.4)+(Forecast!K27*(1+E$24)/($A28-E$24))/(1+$A28)^9.4)*1000/CapitalStructure!$B$9</x:f>
        <x:v>60.59943535476985</x:v>
      </x:c>
      <x:c r="F28" s="97" t="n">
        <x:f>((Forecast!B27/(1+$A28)^0.4+Forecast!C27/(1+$A28)^1.4+Forecast!D27/(1+$A28)^2.4+Forecast!E27/(1+$A28)^3.4+Forecast!F27/(1+$A28)^4.4+Forecast!G27/(1+$A28)^5.4+Forecast!H27/(1+$A28)^6.4+Forecast!I27/(1+$A28)^7.4+Forecast!J27/(1+$A28)^8.4+Forecast!K27/(1+$A28)^9.4)+(Forecast!K27*(1+F$24)/($A28-F$24))/(1+$A28)^9.4)*1000/CapitalStructure!$B$9</x:f>
        <x:v>61.60707550902583</x:v>
      </x:c>
    </x:row>
    <x:row r="29">
      <x:c r="A29" s="34" t="n">
        <x:v>0.16</x:v>
      </x:c>
      <x:c r="B29" s="97" t="n">
        <x:f>((Forecast!B27/(1+$A29)^0.4+Forecast!C27/(1+$A29)^1.4+Forecast!D27/(1+$A29)^2.4+Forecast!E27/(1+$A29)^3.4+Forecast!F27/(1+$A29)^4.4+Forecast!G27/(1+$A29)^5.4+Forecast!H27/(1+$A29)^6.4+Forecast!I27/(1+$A29)^7.4+Forecast!J27/(1+$A29)^8.4+Forecast!K27/(1+$A29)^9.4)+(Forecast!K27*(1+B$24)/($A29-B$24))/(1+$A29)^9.4)*1000/CapitalStructure!$B$9</x:f>
        <x:v>53.57509959346042</x:v>
      </x:c>
      <x:c r="C29" s="97" t="n">
        <x:f>((Forecast!B27/(1+$A29)^0.4+Forecast!C27/(1+$A29)^1.4+Forecast!D27/(1+$A29)^2.4+Forecast!E27/(1+$A29)^3.4+Forecast!F27/(1+$A29)^4.4+Forecast!G27/(1+$A29)^5.4+Forecast!H27/(1+$A29)^6.4+Forecast!I27/(1+$A29)^7.4+Forecast!J27/(1+$A29)^8.4+Forecast!K27/(1+$A29)^9.4)+(Forecast!K27*(1+C$24)/($A29-C$24))/(1+$A29)^9.4)*1000/CapitalStructure!$B$9</x:f>
        <x:v>54.23814864042288</x:v>
      </x:c>
      <x:c r="D29" s="97" t="n">
        <x:f>((Forecast!B27/(1+$A29)^0.4+Forecast!C27/(1+$A29)^1.4+Forecast!D27/(1+$A29)^2.4+Forecast!E27/(1+$A29)^3.4+Forecast!F27/(1+$A29)^4.4+Forecast!G27/(1+$A29)^5.4+Forecast!H27/(1+$A29)^6.4+Forecast!I27/(1+$A29)^7.4+Forecast!J27/(1+$A29)^8.4+Forecast!K27/(1+$A29)^9.4)+(Forecast!K27*(1+D$24)/($A29-D$24))/(1+$A29)^9.4)*1000/CapitalStructure!$B$9</x:f>
        <x:v>54.945400957182855</x:v>
      </x:c>
      <x:c r="E29" s="97" t="n">
        <x:f>((Forecast!B27/(1+$A29)^0.4+Forecast!C27/(1+$A29)^1.4+Forecast!D27/(1+$A29)^2.4+Forecast!E27/(1+$A29)^3.4+Forecast!F27/(1+$A29)^4.4+Forecast!G27/(1+$A29)^5.4+Forecast!H27/(1+$A29)^6.4+Forecast!I27/(1+$A29)^7.4+Forecast!J27/(1+$A29)^8.4+Forecast!K27/(1+$A29)^9.4)+(Forecast!K27*(1+E$24)/($A29-E$24))/(1+$A29)^9.4)*1000/CapitalStructure!$B$9</x:f>
        <x:v>55.70142929578833</x:v>
      </x:c>
      <x:c r="F29" s="97" t="n">
        <x:f>((Forecast!B27/(1+$A29)^0.4+Forecast!C27/(1+$A29)^1.4+Forecast!D27/(1+$A29)^2.4+Forecast!E27/(1+$A29)^3.4+Forecast!F27/(1+$A29)^4.4+Forecast!G27/(1+$A29)^5.4+Forecast!H27/(1+$A29)^6.4+Forecast!I27/(1+$A29)^7.4+Forecast!J27/(1+$A29)^8.4+Forecast!K27/(1+$A29)^9.4)+(Forecast!K27*(1+F$24)/($A29-F$24))/(1+$A29)^9.4)*1000/CapitalStructure!$B$9</x:f>
        <x:v>56.51145965857991</x:v>
      </x:c>
    </x:row>
    <x:row r="30">
      <x:c r="A30" s="34" t="n">
        <x:v>0.17</x:v>
      </x:c>
      <x:c r="B30" s="97" t="n">
        <x:f>((Forecast!B27/(1+$A30)^0.4+Forecast!C27/(1+$A30)^1.4+Forecast!D27/(1+$A30)^2.4+Forecast!E27/(1+$A30)^3.4+Forecast!F27/(1+$A30)^4.4+Forecast!G27/(1+$A30)^5.4+Forecast!H27/(1+$A30)^6.4+Forecast!I27/(1+$A30)^7.4+Forecast!J27/(1+$A30)^8.4+Forecast!K27/(1+$A30)^9.4)+(Forecast!K27*(1+B$24)/($A30-B$24))/(1+$A30)^9.4)*1000/CapitalStructure!$B$9</x:f>
        <x:v>49.71840584804727</x:v>
      </x:c>
      <x:c r="C30" s="97" t="n">
        <x:f>((Forecast!B27/(1+$A30)^0.4+Forecast!C27/(1+$A30)^1.4+Forecast!D27/(1+$A30)^2.4+Forecast!E27/(1+$A30)^3.4+Forecast!F27/(1+$A30)^4.4+Forecast!G27/(1+$A30)^5.4+Forecast!H27/(1+$A30)^6.4+Forecast!I27/(1+$A30)^7.4+Forecast!J27/(1+$A30)^8.4+Forecast!K27/(1+$A30)^9.4)+(Forecast!K27*(1+C$24)/($A30-C$24))/(1+$A30)^9.4)*1000/CapitalStructure!$B$9</x:f>
        <x:v>50.26385006462762</x:v>
      </x:c>
      <x:c r="D30" s="97" t="n">
        <x:f>((Forecast!B27/(1+$A30)^0.4+Forecast!C27/(1+$A30)^1.4+Forecast!D27/(1+$A30)^2.4+Forecast!E27/(1+$A30)^3.4+Forecast!F27/(1+$A30)^4.4+Forecast!G27/(1+$A30)^5.4+Forecast!H27/(1+$A30)^6.4+Forecast!I27/(1+$A30)^7.4+Forecast!J27/(1+$A30)^8.4+Forecast!K27/(1+$A30)^9.4)+(Forecast!K27*(1+D$24)/($A30-D$24))/(1+$A30)^9.4)*1000/CapitalStructure!$B$9</x:f>
        <x:v>50.843384544744254</x:v>
      </x:c>
      <x:c r="E30" s="97" t="n">
        <x:f>((Forecast!B27/(1+$A30)^0.4+Forecast!C27/(1+$A30)^1.4+Forecast!D27/(1+$A30)^2.4+Forecast!E27/(1+$A30)^3.4+Forecast!F27/(1+$A30)^4.4+Forecast!G27/(1+$A30)^5.4+Forecast!H27/(1+$A30)^6.4+Forecast!I27/(1+$A30)^7.4+Forecast!J27/(1+$A30)^8.4+Forecast!K27/(1+$A30)^9.4)+(Forecast!K27*(1+E$24)/($A30-E$24))/(1+$A30)^9.4)*1000/CapitalStructure!$B$9</x:f>
        <x:v>51.46030834615871</x:v>
      </x:c>
      <x:c r="F30" s="97" t="n">
        <x:f>((Forecast!B27/(1+$A30)^0.4+Forecast!C27/(1+$A30)^1.4+Forecast!D27/(1+$A30)^2.4+Forecast!E27/(1+$A30)^3.4+Forecast!F27/(1+$A30)^4.4+Forecast!G27/(1+$A30)^5.4+Forecast!H27/(1+$A30)^6.4+Forecast!I27/(1+$A30)^7.4+Forecast!J27/(1+$A30)^8.4+Forecast!K27/(1+$A30)^9.4)+(Forecast!K27*(1+F$24)/($A30-F$24))/(1+$A30)^9.4)*1000/CapitalStructure!$B$9</x:f>
        <x:v>52.11836040100082</x:v>
      </x:c>
    </x:row>
    <x:row r="31">
      <x:c r="A31" s="34" t="n">
        <x:v>0.18</x:v>
      </x:c>
      <x:c r="B31" s="97" t="n">
        <x:f>((Forecast!B27/(1+$A31)^0.4+Forecast!C27/(1+$A31)^1.4+Forecast!D27/(1+$A31)^2.4+Forecast!E27/(1+$A31)^3.4+Forecast!F27/(1+$A31)^4.4+Forecast!G27/(1+$A31)^5.4+Forecast!H27/(1+$A31)^6.4+Forecast!I27/(1+$A31)^7.4+Forecast!J27/(1+$A31)^8.4+Forecast!K27/(1+$A31)^9.4)+(Forecast!K27*(1+B$24)/($A31-B$24))/(1+$A31)^9.4)*1000/CapitalStructure!$B$9</x:f>
        <x:v>46.31667612663197</x:v>
      </x:c>
      <x:c r="C31" s="97" t="n">
        <x:f>((Forecast!B27/(1+$A31)^0.4+Forecast!C27/(1+$A31)^1.4+Forecast!D27/(1+$A31)^2.4+Forecast!E27/(1+$A31)^3.4+Forecast!F27/(1+$A31)^4.4+Forecast!G27/(1+$A31)^5.4+Forecast!H27/(1+$A31)^6.4+Forecast!I27/(1+$A31)^7.4+Forecast!J27/(1+$A31)^8.4+Forecast!K27/(1+$A31)^9.4)+(Forecast!K27*(1+C$24)/($A31-C$24))/(1+$A31)^9.4)*1000/CapitalStructure!$B$9</x:f>
        <x:v>46.76887037108779</x:v>
      </x:c>
      <x:c r="D31" s="97" t="n">
        <x:f>((Forecast!B27/(1+$A31)^0.4+Forecast!C27/(1+$A31)^1.4+Forecast!D27/(1+$A31)^2.4+Forecast!E27/(1+$A31)^3.4+Forecast!F27/(1+$A31)^4.4+Forecast!G27/(1+$A31)^5.4+Forecast!H27/(1+$A31)^6.4+Forecast!I27/(1+$A31)^7.4+Forecast!J27/(1+$A31)^8.4+Forecast!K27/(1+$A31)^9.4)+(Forecast!K27*(1+D$24)/($A31-D$24))/(1+$A31)^9.4)*1000/CapitalStructure!$B$9</x:f>
        <x:v>47.2476642769822</x:v>
      </x:c>
      <x:c r="E31" s="97" t="n">
        <x:f>((Forecast!B27/(1+$A31)^0.4+Forecast!C27/(1+$A31)^1.4+Forecast!D27/(1+$A31)^2.4+Forecast!E27/(1+$A31)^3.4+Forecast!F27/(1+$A31)^4.4+Forecast!G27/(1+$A31)^5.4+Forecast!H27/(1+$A31)^6.4+Forecast!I27/(1+$A31)^7.4+Forecast!J27/(1+$A31)^8.4+Forecast!K27/(1+$A31)^9.4)+(Forecast!K27*(1+E$24)/($A31-E$24))/(1+$A31)^9.4)*1000/CapitalStructure!$B$9</x:f>
        <x:v>47.75547599535505</x:v>
      </x:c>
      <x:c r="F31" s="97" t="n">
        <x:f>((Forecast!B27/(1+$A31)^0.4+Forecast!C27/(1+$A31)^1.4+Forecast!D27/(1+$A31)^2.4+Forecast!E27/(1+$A31)^3.4+Forecast!F27/(1+$A31)^4.4+Forecast!G27/(1+$A31)^5.4+Forecast!H27/(1+$A31)^6.4+Forecast!I27/(1+$A31)^7.4+Forecast!J27/(1+$A31)^8.4+Forecast!K27/(1+$A31)^9.4)+(Forecast!K27*(1+F$24)/($A31-F$24))/(1+$A31)^9.4)*1000/CapitalStructure!$B$9</x:f>
        <x:v>48.29502594612621</x:v>
      </x:c>
    </x:row>
  </x:sheetData>
  <x:mergeCells>
    <x:mergeCell ref="A1:H1"/>
    <x:mergeCell ref="A2:H2"/>
    <x:mergeCell ref="A4:H4"/>
    <x:mergeCell ref="A14:H14"/>
    <x:mergeCell ref="A23:H23"/>
  </x:mergeCells>
  <x:conditionalFormatting sqref="B6:G1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B16:G20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B25:F31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6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4" t="str">
        <x:v>YPF — Full Valuation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10" t="str">
        <x:v>Model date: 7 Aug 2026. Latest reported quarter: Q1 2026. Q2 earnings webcast is 11 Aug 2026; this model should be refreshed immediately after results.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25" t="str">
        <x:v>Base intrinsic value</x:v>
      </x:c>
      <x:c r="B4" s="125"/>
      <x:c r="C4" s="125"/>
      <x:c r="E4" s="125" t="str">
        <x:v>Bear value</x:v>
      </x:c>
      <x:c r="F4" s="125"/>
      <x:c r="G4" s="125"/>
      <x:c r="I4" s="125" t="str">
        <x:v>Bull value</x:v>
      </x:c>
      <x:c r="J4" s="125"/>
      <x:c r="K4" s="125"/>
    </x:row>
    <x:row r="5">
      <x:c r="A5" s="166" t="n">
        <x:f>Valuation!C9</x:f>
        <x:v>70.32601734607262</x:v>
      </x:c>
      <x:c r="B5" s="142"/>
      <x:c r="C5" s="143"/>
      <x:c r="E5" s="166" t="n">
        <x:f>Valuation!B9</x:f>
        <x:v>35.91466877804137</x:v>
      </x:c>
      <x:c r="F5" s="142"/>
      <x:c r="G5" s="143"/>
      <x:c r="I5" s="166" t="n">
        <x:f>Valuation!D9</x:f>
        <x:v>115.78103949002501</x:v>
      </x:c>
      <x:c r="J5" s="142"/>
      <x:c r="K5" s="143"/>
    </x:row>
    <x:row r="6">
      <x:c r="A6" s="144"/>
      <x:c r="B6" s="145"/>
      <x:c r="C6" s="146"/>
      <x:c r="E6" s="144"/>
      <x:c r="F6" s="145"/>
      <x:c r="G6" s="146"/>
      <x:c r="I6" s="144"/>
      <x:c r="J6" s="145"/>
      <x:c r="K6" s="146"/>
    </x:row>
    <x:row r="8">
      <x:c r="A8" s="125" t="str">
        <x:v>Current ADR price</x:v>
      </x:c>
      <x:c r="B8" s="125"/>
      <x:c r="C8" s="125"/>
      <x:c r="E8" s="125" t="str">
        <x:v>Base upside</x:v>
      </x:c>
      <x:c r="F8" s="125"/>
      <x:c r="G8" s="125"/>
      <x:c r="I8" s="125" t="str">
        <x:v>2026 EBITDA guide</x:v>
      </x:c>
      <x:c r="J8" s="125"/>
      <x:c r="K8" s="125"/>
    </x:row>
    <x:row r="9">
      <x:c r="A9" s="166" t="n">
        <x:f>CapitalStructure!B10</x:f>
        <x:v>49.22</x:v>
      </x:c>
      <x:c r="B9" s="142"/>
      <x:c r="C9" s="143"/>
      <x:c r="E9" s="168" t="n">
        <x:f>Valuation!C22</x:f>
        <x:v>0.4288097794813617</x:v>
      </x:c>
      <x:c r="F9" s="142"/>
      <x:c r="G9" s="143"/>
      <x:c r="I9" s="182" t="str">
        <x:v>$5.8-$6.2B</x:v>
      </x:c>
      <x:c r="J9" s="183"/>
      <x:c r="K9" s="184"/>
    </x:row>
    <x:row r="10">
      <x:c r="A10" s="144"/>
      <x:c r="B10" s="145"/>
      <x:c r="C10" s="146"/>
      <x:c r="E10" s="144"/>
      <x:c r="F10" s="145"/>
      <x:c r="G10" s="146"/>
      <x:c r="I10" s="185"/>
      <x:c r="J10" s="186"/>
      <x:c r="K10" s="187"/>
    </x:row>
    <x:row r="12">
      <x:c r="A12" s="125" t="str">
        <x:v>Q1 production</x:v>
      </x:c>
      <x:c r="B12" s="125"/>
      <x:c r="C12" s="125"/>
      <x:c r="E12" s="125" t="str">
        <x:v>Q1 net debt</x:v>
      </x:c>
      <x:c r="F12" s="125"/>
      <x:c r="G12" s="125"/>
      <x:c r="I12" s="125" t="str">
        <x:v>Q1 shale hub lifting</x:v>
      </x:c>
      <x:c r="J12" s="125"/>
      <x:c r="K12" s="125"/>
    </x:row>
    <x:row r="13">
      <x:c r="A13" s="206" t="n">
        <x:f>Historical!D12</x:f>
        <x:v>525</x:v>
      </x:c>
      <x:c r="B13" s="142"/>
      <x:c r="C13" s="143"/>
      <x:c r="E13" s="166" t="n">
        <x:f>Historical!D10</x:f>
        <x:v>8.425</x:v>
      </x:c>
      <x:c r="F13" s="142"/>
      <x:c r="G13" s="143"/>
      <x:c r="I13" s="208" t="n">
        <x:f>Historical!D19</x:f>
        <x:v>4</x:v>
      </x:c>
      <x:c r="J13" s="142"/>
      <x:c r="K13" s="143"/>
    </x:row>
    <x:row r="14">
      <x:c r="A14" s="144"/>
      <x:c r="B14" s="145"/>
      <x:c r="C14" s="146"/>
      <x:c r="E14" s="144"/>
      <x:c r="F14" s="145"/>
      <x:c r="G14" s="146"/>
      <x:c r="I14" s="144"/>
      <x:c r="J14" s="145"/>
      <x:c r="K14" s="146"/>
    </x:row>
    <x:row r="16">
      <x:c r="A16" s="49" t="str">
        <x:v>Valuation Methods</x:v>
      </x:c>
      <x:c r="B16" s="49" t="str">
        <x:v>Valuation Methods</x:v>
      </x:c>
      <x:c r="C16" s="49" t="str">
        <x:v>Valuation Methods</x:v>
      </x:c>
      <x:c r="D16" s="49" t="str">
        <x:v>Valuation Methods</x:v>
      </x:c>
      <x:c r="E16" s="49" t="str">
        <x:v>Valuation Methods</x:v>
      </x:c>
      <x:c r="F16" s="49" t="str">
        <x:v>Valuation Methods</x:v>
      </x:c>
      <x:c r="G16" s="49" t="str">
        <x:v>Valuation Methods</x:v>
      </x:c>
      <x:c r="H16" s="49" t="str">
        <x:v>Valuation Methods</x:v>
      </x:c>
      <x:c r="I16" s="49" t="str">
        <x:v>Valuation Methods</x:v>
      </x:c>
      <x:c r="J16" s="49" t="str">
        <x:v>Valuation Methods</x:v>
      </x:c>
      <x:c r="K16" s="49" t="str">
        <x:v>Valuation Methods</x:v>
      </x:c>
      <x:c r="L16" s="49" t="str">
        <x:v>Valuation Methods</x:v>
      </x:c>
      <x:c r="M16" s="49" t="str">
        <x:v>Valuation Methods</x:v>
      </x:c>
      <x:c r="N16" s="49" t="str">
        <x:v>Valuation Methods</x:v>
      </x:c>
    </x:row>
    <x:row r="17">
      <x:c r="A17" s="19" t="str">
        <x:v>Method</x:v>
      </x:c>
      <x:c r="B17" s="19" t="str">
        <x:v>Bear</x:v>
      </x:c>
      <x:c r="C17" s="19" t="str">
        <x:v>Base</x:v>
      </x:c>
      <x:c r="D17" s="19" t="str">
        <x:v>Bull</x:v>
      </x:c>
      <x:c r="P17" t="str">
        <x:v>2026E</x:v>
      </x:c>
      <x:c r="Q17" t="str">
        <x:v>2027E</x:v>
      </x:c>
      <x:c r="R17" t="str">
        <x:v>2028E</x:v>
      </x:c>
      <x:c r="S17" t="str">
        <x:v>2029E</x:v>
      </x:c>
      <x:c r="T17" t="str">
        <x:v>2030E</x:v>
      </x:c>
      <x:c r="U17" t="str">
        <x:v>2031E</x:v>
      </x:c>
      <x:c r="V17" t="str">
        <x:v>2032E</x:v>
      </x:c>
      <x:c r="W17" t="str">
        <x:v>2033E</x:v>
      </x:c>
      <x:c r="X17" t="str">
        <x:v>2034E</x:v>
      </x:c>
      <x:c r="Y17" t="str">
        <x:v>2035E</x:v>
      </x:c>
    </x:row>
    <x:row r="18">
      <x:c r="A18" t="str">
        <x:v>Asset SOTP</x:v>
      </x:c>
      <x:c r="B18" s="97" t="n">
        <x:f>Valuation!B5</x:f>
        <x:v>38.41457655703157</x:v>
      </x:c>
      <x:c r="C18" s="97" t="n">
        <x:f>Valuation!C5</x:f>
        <x:v>70.49812180658714</x:v>
      </x:c>
      <x:c r="D18" s="97" t="n">
        <x:f>Valuation!D5</x:f>
        <x:v>113.43168662149058</x:v>
      </x:c>
      <x:c r="P18" s="97" t="n">
        <x:f>Forecast!B24</x:f>
        <x:v>6</x:v>
      </x:c>
      <x:c r="Q18" s="97" t="n">
        <x:f>Forecast!C24</x:f>
        <x:v>7.8</x:v>
      </x:c>
      <x:c r="R18" s="97" t="n">
        <x:f>Forecast!D24</x:f>
        <x:v>9.4</x:v>
      </x:c>
      <x:c r="S18" s="97" t="n">
        <x:f>Forecast!E24</x:f>
        <x:v>11</x:v>
      </x:c>
      <x:c r="T18" s="97" t="n">
        <x:f>Forecast!F24</x:f>
        <x:v>11.3</x:v>
      </x:c>
      <x:c r="U18" s="97" t="n">
        <x:f>Forecast!G24</x:f>
        <x:v>11.5</x:v>
      </x:c>
      <x:c r="V18" s="97" t="n">
        <x:f>Forecast!H24</x:f>
        <x:v>11.6</x:v>
      </x:c>
      <x:c r="W18" s="97" t="n">
        <x:f>Forecast!I24</x:f>
        <x:v>11.7</x:v>
      </x:c>
      <x:c r="X18" s="97" t="n">
        <x:f>Forecast!J24</x:f>
        <x:v>11.8</x:v>
      </x:c>
      <x:c r="Y18" s="97" t="n">
        <x:f>Forecast!K24</x:f>
        <x:v>11.9</x:v>
      </x:c>
    </x:row>
    <x:row r="19">
      <x:c r="A19" t="str">
        <x:v>2028 EV/EBITDA</x:v>
      </x:c>
      <x:c r="B19" s="97" t="n">
        <x:f>Valuation!B6</x:f>
        <x:v>42.08069971603061</x:v>
      </x:c>
      <x:c r="C19" s="97" t="n">
        <x:f>Valuation!C6</x:f>
        <x:v>76.64144635187502</x:v>
      </x:c>
      <x:c r="D19" s="97" t="n">
        <x:f>Valuation!D6</x:f>
        <x:v>116.67299843553133</x:v>
      </x:c>
      <x:c r="P19" s="97" t="n">
        <x:f>Forecast!B27</x:f>
        <x:v>0.5</x:v>
      </x:c>
      <x:c r="Q19" s="97" t="n">
        <x:f>Forecast!C27</x:f>
        <x:v>1.3</x:v>
      </x:c>
      <x:c r="R19" s="97" t="n">
        <x:f>Forecast!D27</x:f>
        <x:v>2.4</x:v>
      </x:c>
      <x:c r="S19" s="97" t="n">
        <x:f>Forecast!E27</x:f>
        <x:v>3.1</x:v>
      </x:c>
      <x:c r="T19" s="97" t="n">
        <x:f>Forecast!F27</x:f>
        <x:v>3.6</x:v>
      </x:c>
      <x:c r="U19" s="97" t="n">
        <x:f>Forecast!G27</x:f>
        <x:v>3.9</x:v>
      </x:c>
      <x:c r="V19" s="97" t="n">
        <x:f>Forecast!H27</x:f>
        <x:v>4.1</x:v>
      </x:c>
      <x:c r="W19" s="97" t="n">
        <x:f>Forecast!I27</x:f>
        <x:v>4.3</x:v>
      </x:c>
      <x:c r="X19" s="97" t="n">
        <x:f>Forecast!J27</x:f>
        <x:v>4.4</x:v>
      </x:c>
      <x:c r="Y19" s="97" t="n">
        <x:f>Forecast!K27</x:f>
        <x:v>4.5</x:v>
      </x:c>
    </x:row>
    <x:row r="20">
      <x:c r="A20" t="str">
        <x:v>Equity FCF DCF</x:v>
      </x:c>
      <x:c r="B20" s="97" t="n">
        <x:f>Valuation!B7</x:f>
        <x:v>23.09802840989515</x:v>
      </x:c>
      <x:c r="C20" s="97" t="n">
        <x:f>Valuation!C7</x:f>
        <x:v>60.59943535476985</x:v>
      </x:c>
      <x:c r="D20" s="97" t="n">
        <x:f>Valuation!D7</x:f>
        <x:v>120.66235701803595</x:v>
      </x:c>
    </x:row>
    <x:row r="21">
      <x:c r="A21" t="str">
        <x:v>2030 EV/EBITDA</x:v>
      </x:c>
      <x:c r="B21" s="97" t="n">
        <x:f>Valuation!B8</x:f>
        <x:v>36.06038362828037</x:v>
      </x:c>
      <x:c r="C21" s="97" t="n">
        <x:f>Valuation!C8</x:f>
        <x:v>72.31013309676686</x:v>
      </x:c>
      <x:c r="D21" s="97" t="n">
        <x:f>Valuation!D8</x:f>
        <x:v>114.05095885959165</x:v>
      </x:c>
    </x:row>
    <x:row r="22">
      <x:c r="A22" s="70" t="str">
        <x:v>Blended</x:v>
      </x:c>
      <x:c r="B22" s="71" t="n">
        <x:f>Valuation!B9</x:f>
        <x:v>35.91466877804137</x:v>
      </x:c>
      <x:c r="C22" s="71" t="n">
        <x:f>Valuation!C9</x:f>
        <x:v>70.32601734607262</x:v>
      </x:c>
      <x:c r="D22" s="71" t="n">
        <x:f>Valuation!D9</x:f>
        <x:v>115.78103949002501</x:v>
      </x:c>
      <x:c r="P22" t="str">
        <x:v>2026E</x:v>
      </x:c>
      <x:c r="Q22" t="str">
        <x:v>2027E</x:v>
      </x:c>
      <x:c r="R22" t="str">
        <x:v>2028E</x:v>
      </x:c>
      <x:c r="S22" t="str">
        <x:v>2029E</x:v>
      </x:c>
      <x:c r="T22" t="str">
        <x:v>2030E</x:v>
      </x:c>
      <x:c r="U22" t="str">
        <x:v>2031E</x:v>
      </x:c>
      <x:c r="V22" t="str">
        <x:v>2032E</x:v>
      </x:c>
      <x:c r="W22" t="str">
        <x:v>2033E</x:v>
      </x:c>
      <x:c r="X22" t="str">
        <x:v>2034E</x:v>
      </x:c>
      <x:c r="Y22" t="str">
        <x:v>2035E</x:v>
      </x:c>
    </x:row>
    <x:row r="23">
      <x:c r="P23" s="114" t="n">
        <x:f>Forecast!B29</x:f>
        <x:v>215</x:v>
      </x:c>
      <x:c r="Q23" s="114" t="n">
        <x:f>Forecast!C29</x:f>
        <x:v>290</x:v>
      </x:c>
      <x:c r="R23" s="114" t="n">
        <x:f>Forecast!D29</x:f>
        <x:v>375</x:v>
      </x:c>
      <x:c r="S23" s="114" t="n">
        <x:f>Forecast!E29</x:f>
        <x:v>445</x:v>
      </x:c>
      <x:c r="T23" s="114" t="n">
        <x:f>Forecast!F29</x:f>
        <x:v>470</x:v>
      </x:c>
      <x:c r="U23" s="114" t="n">
        <x:f>Forecast!G29</x:f>
        <x:v>485</x:v>
      </x:c>
      <x:c r="V23" s="114" t="n">
        <x:f>Forecast!H29</x:f>
        <x:v>500</x:v>
      </x:c>
      <x:c r="W23" s="114" t="n">
        <x:f>Forecast!I29</x:f>
        <x:v>510</x:v>
      </x:c>
      <x:c r="X23" s="114" t="n">
        <x:f>Forecast!J29</x:f>
        <x:v>520</x:v>
      </x:c>
      <x:c r="Y23" s="114" t="n">
        <x:f>Forecast!K29</x:f>
        <x:v>530</x:v>
      </x:c>
    </x:row>
    <x:row r="25">
      <x:c r="A25" s="49" t="str">
        <x:v>Investment Thesis / Risk Monitor</x:v>
      </x:c>
      <x:c r="B25" s="49" t="str">
        <x:v>Investment Thesis / Risk Monitor</x:v>
      </x:c>
      <x:c r="C25" s="49" t="str">
        <x:v>Investment Thesis / Risk Monitor</x:v>
      </x:c>
      <x:c r="D25" s="49" t="str">
        <x:v>Investment Thesis / Risk Monitor</x:v>
      </x:c>
      <x:c r="E25" s="49" t="str">
        <x:v>Investment Thesis / Risk Monitor</x:v>
      </x:c>
      <x:c r="F25" s="49" t="str">
        <x:v>Investment Thesis / Risk Monitor</x:v>
      </x:c>
      <x:c r="G25" s="49" t="str">
        <x:v>Investment Thesis / Risk Monitor</x:v>
      </x:c>
      <x:c r="H25" s="49" t="str">
        <x:v>Investment Thesis / Risk Monitor</x:v>
      </x:c>
      <x:c r="I25" s="49" t="str">
        <x:v>Investment Thesis / Risk Monitor</x:v>
      </x:c>
      <x:c r="J25" s="49" t="str">
        <x:v>Investment Thesis / Risk Monitor</x:v>
      </x:c>
      <x:c r="K25" s="49" t="str">
        <x:v>Investment Thesis / Risk Monitor</x:v>
      </x:c>
      <x:c r="L25" s="49" t="str">
        <x:v>Investment Thesis / Risk Monitor</x:v>
      </x:c>
      <x:c r="M25" s="49" t="str">
        <x:v>Investment Thesis / Risk Monitor</x:v>
      </x:c>
      <x:c r="N25" s="49" t="str">
        <x:v>Investment Thesis / Risk Monitor</x:v>
      </x:c>
    </x:row>
    <x:row r="26">
      <x:c r="A26" s="19" t="str">
        <x:v>Driver</x:v>
      </x:c>
      <x:c r="B26" s="19" t="str">
        <x:v>Current signal</x:v>
      </x:c>
      <x:c r="C26" s="19" t="str">
        <x:v>Model implication</x:v>
      </x:c>
      <x:c r="D26" s="19" t="str">
        <x:v>Evidence</x:v>
      </x:c>
    </x:row>
    <x:row r="27">
      <x:c r="A27" s="26" t="str">
        <x:v>Vaca Muerta growth</x:v>
      </x:c>
      <x:c r="B27" s="212" t="str">
        <x:v>Strong</x:v>
      </x:c>
      <x:c r="C27" s="26" t="str">
        <x:v>Shale oil 205 kbbl/d Q1; 215 avg 2026 / 250 Dec target supports lower-cost mix.</x:v>
      </x:c>
      <x:c r="D27" s="26" t="str">
        <x:v>S1/S4/S5</x:v>
      </x:c>
    </x:row>
    <x:row r="28">
      <x:c r="A28" s="26" t="str">
        <x:v>Lifting cost</x:v>
      </x:c>
      <x:c r="B28" s="212" t="str">
        <x:v>Improving</x:v>
      </x:c>
      <x:c r="C28" s="26" t="str">
        <x:v>Q1 total $8.8/boe and shale hub $4.0/boe materially improve Brent resilience.</x:v>
      </x:c>
      <x:c r="D28" s="26" t="str">
        <x:v>S1</x:v>
      </x:c>
    </x:row>
    <x:row r="29">
      <x:c r="A29" s="26" t="str">
        <x:v>VMOS</x:v>
      </x:c>
      <x:c r="B29" s="212" t="str">
        <x:v>De-risking</x:v>
      </x:c>
      <x:c r="C29" s="26" t="str">
        <x:v>First oil early 2027 and 550 kbbl/d full capacity in 2H27 should ease export bottleneck.</x:v>
      </x:c>
      <x:c r="D29" s="26" t="str">
        <x:v>S1</x:v>
      </x:c>
    </x:row>
    <x:row r="30">
      <x:c r="A30" s="26" t="str">
        <x:v>Debt / maturity</x:v>
      </x:c>
      <x:c r="B30" s="212" t="str">
        <x:v>Improving</x:v>
      </x:c>
      <x:c r="C30" s="26" t="str">
        <x:v>Q1 net debt $8.425B; proactive prepayments reduce near-term refinancing risk.</x:v>
      </x:c>
      <x:c r="D30" s="26" t="str">
        <x:v>S1</x:v>
      </x:c>
    </x:row>
    <x:row r="31">
      <x:c r="A31" s="26" t="str">
        <x:v>Brent sensitivity</x:v>
      </x:c>
      <x:c r="B31" s="212" t="str">
        <x:v>Material</x:v>
      </x:c>
      <x:c r="C31" s="26" t="str">
        <x:v>IR Day shows 2026 EBITDA roughly $5.4B at Brent 60 vs $7.0B at Brent 80.</x:v>
      </x:c>
      <x:c r="D31" s="26" t="str">
        <x:v>S5</x:v>
      </x:c>
    </x:row>
    <x:row r="32">
      <x:c r="A32" s="26" t="str">
        <x:v>Argentina policy risk</x:v>
      </x:c>
      <x:c r="B32" s="212" t="str">
        <x:v>Structural</x:v>
      </x:c>
      <x:c r="C32" s="26" t="str">
        <x:v>State ownership, FX/capital-market and domestic pricing risk justify elevated discount rate.</x:v>
      </x:c>
      <x:c r="D32" s="26" t="str">
        <x:v>Model / company context</x:v>
      </x:c>
    </x:row>
    <x:row r="33">
      <x:c r="A33" s="26" t="str">
        <x:v>LNG optionality</x:v>
      </x:c>
      <x:c r="B33" s="212" t="str">
        <x:v>Large but early</x:v>
      </x:c>
      <x:c r="C33" s="26" t="str">
        <x:v>18 mtpa headline project potential; YPF retains 36% in dedicated upstream company with Eni/XRG partners.</x:v>
      </x:c>
      <x:c r="D33" s="26" t="str">
        <x:v>S6/S7</x:v>
      </x:c>
    </x:row>
    <x:row r="34">
      <x:c r="A34" s="26" t="str">
        <x:v>Q2 earnings</x:v>
      </x:c>
      <x:c r="B34" s="212" t="str">
        <x:v>Near-term catalyst</x:v>
      </x:c>
      <x:c r="C34" s="26" t="str">
        <x:v>Results Aug 11; production, net debt, VMOS and full-year guide can materially reset valuation.</x:v>
      </x:c>
      <x:c r="D34" s="26" t="str">
        <x:v>S2</x:v>
      </x:c>
    </x:row>
  </x:sheetData>
  <x:mergeCells>
    <x:mergeCell ref="A1:N1"/>
    <x:mergeCell ref="A2:N2"/>
    <x:mergeCell ref="A4:C4"/>
    <x:mergeCell ref="A5:C6"/>
    <x:mergeCell ref="E4:G4"/>
    <x:mergeCell ref="E5:G6"/>
    <x:mergeCell ref="I4:K4"/>
    <x:mergeCell ref="I5:K6"/>
    <x:mergeCell ref="A8:C8"/>
    <x:mergeCell ref="A9:C10"/>
    <x:mergeCell ref="E8:G8"/>
    <x:mergeCell ref="E9:G10"/>
    <x:mergeCell ref="I8:K8"/>
    <x:mergeCell ref="I9:K10"/>
    <x:mergeCell ref="A12:C12"/>
    <x:mergeCell ref="A13:C14"/>
    <x:mergeCell ref="E12:G12"/>
    <x:mergeCell ref="E13:G14"/>
    <x:mergeCell ref="I12:K12"/>
    <x:mergeCell ref="I13:K14"/>
    <x:mergeCell ref="A16:N16"/>
    <x:mergeCell ref="A25:N25"/>
  </x:mergeCells>
  <x:pageMargins left="0.7" right="0.7" top="0.75" bottom="0.75" header="0.3" footer="0.3"/>
  <x:drawing xmlns:r="http://schemas.openxmlformats.org/officeDocument/2006/relationships" r:id="R80a7f4ae0b3a447b"/>
</x:worksheet>
</file>