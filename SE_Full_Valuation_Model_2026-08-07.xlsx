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04d628f5a34d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s" sheetId="1" r:id="Re5c947ff26f643b8"/>
    <x:sheet xmlns:r="http://schemas.openxmlformats.org/officeDocument/2006/relationships" name="Historical" sheetId="2" r:id="Rbee5436030974bb8"/>
    <x:sheet xmlns:r="http://schemas.openxmlformats.org/officeDocument/2006/relationships" name="CapitalStructure" sheetId="3" r:id="Rf26d9ac64b754cd9"/>
    <x:sheet xmlns:r="http://schemas.openxmlformats.org/officeDocument/2006/relationships" name="Forecast" sheetId="4" r:id="Rcf8281089afb4961"/>
    <x:sheet xmlns:r="http://schemas.openxmlformats.org/officeDocument/2006/relationships" name="Peers" sheetId="5" r:id="Rcc913ee99e424a4d"/>
    <x:sheet xmlns:r="http://schemas.openxmlformats.org/officeDocument/2006/relationships" name="SOTP" sheetId="6" r:id="Rc970fdf8ddb44a4d"/>
    <x:sheet xmlns:r="http://schemas.openxmlformats.org/officeDocument/2006/relationships" name="DCF" sheetId="7" r:id="Rfe4a7368e82a4d02"/>
    <x:sheet xmlns:r="http://schemas.openxmlformats.org/officeDocument/2006/relationships" name="PE_CrossCheck" sheetId="8" r:id="R0a7748691a7e497c"/>
    <x:sheet xmlns:r="http://schemas.openxmlformats.org/officeDocument/2006/relationships" name="Valuation" sheetId="9" r:id="R5b0f937764bb4657"/>
    <x:sheet xmlns:r="http://schemas.openxmlformats.org/officeDocument/2006/relationships" name="Sensitivity" sheetId="10" r:id="Rba9eae0efd9f4af6"/>
    <x:sheet xmlns:r="http://schemas.openxmlformats.org/officeDocument/2006/relationships" name="Dashboard" sheetId="11" r:id="R708f5b22c7c948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$0.00;[Red]($0.00);-"/>
    <x:numFmt numFmtId="201" formatCode="0.0%;[Red](0.0%);-"/>
    <x:numFmt numFmtId="202" formatCode="#,##0.0"/>
    <x:numFmt numFmtId="203" formatCode="0.0"/>
    <x:numFmt numFmtId="204" formatCode="0.0x"/>
    <x:numFmt numFmtId="205" formatCode="0.000x"/>
  </x:numFmts>
  <x:fonts count="15">
    <x:font>
      <x:sz val="11"/>
      <x:name val="Carlito"/>
    </x:font>
    <x:font>
      <x:b/>
      <x:sz val="16"/>
      <x:color rgb="FFFFFFFF"/>
      <x:name val="Carlito"/>
    </x:font>
    <x:font>
      <x:i/>
      <x:sz val="9"/>
      <x:color rgb="FF6B7280"/>
      <x:name val="Carlito"/>
    </x:font>
    <x:font>
      <x:b/>
      <x:sz val="11"/>
      <x:color rgb="FF000000"/>
      <x:name val="Carlito"/>
    </x:font>
    <x:font>
      <x:sz val="11"/>
      <x:color rgb="FF0000FF"/>
      <x:name val="Carlito"/>
    </x:font>
    <x:font>
      <x:i/>
      <x:sz val="11"/>
      <x:color rgb="FF6B7280"/>
      <x:name val="Carlito"/>
    </x:font>
    <x:font>
      <x:sz val="11"/>
      <x:color rgb="FF008000"/>
      <x:name val="Carlito"/>
    </x:font>
    <x:font>
      <x:b/>
      <x:sz val="10"/>
      <x:color rgb="FFFFFFFF"/>
      <x:name val="Carlito"/>
    </x:font>
    <x:font>
      <x:sz val="11"/>
      <x:color rgb="FF000000"/>
      <x:name val="Carlito"/>
    </x:font>
    <x:font>
      <x:b/>
      <x:sz val="9"/>
      <x:color rgb="FFFFFFFF"/>
      <x:name val="Carlito"/>
    </x:font>
    <x:font>
      <x:b/>
      <x:sz val="15"/>
      <x:color rgb="FF008000"/>
      <x:name val="Carlito"/>
    </x:font>
    <x:font>
      <x:b/>
      <x:sz val="15"/>
      <x:color rgb="FF000000"/>
      <x:name val="Carlito"/>
    </x:font>
    <x:font>
      <x:b/>
      <x:sz val="11"/>
      <x:name val="Carlito"/>
    </x:font>
    <x:font>
      <x:b/>
      <x:sz val="10"/>
      <x:color rgb="FF008000"/>
      <x:name val="Carlito"/>
    </x:font>
    <x:font>
      <x:b/>
      <x:sz val="10"/>
      <x:color rgb="FF0000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F3F6FA"/>
      </x:patternFill>
    </x:fill>
    <x:fill>
      <x:patternFill patternType="solid">
        <x:fgColor rgb="FFD9E2F3"/>
      </x:patternFill>
    </x:fill>
    <x:fill>
      <x:patternFill patternType="solid">
        <x:fgColor rgb="FFFFF2CC"/>
      </x:patternFill>
    </x:fill>
    <x:fill>
      <x:patternFill patternType="solid">
        <x:fgColor rgb="FF132A46"/>
      </x:patternFill>
    </x:fill>
    <x:fill>
      <x:patternFill patternType="solid">
        <x:fgColor rgb="FFE2F0D9"/>
      </x:patternFill>
    </x:fill>
    <x:fill>
      <x:patternFill patternType="solid">
        <x:fgColor rgb="FFFFFFFF"/>
      </x:patternFill>
    </x:fill>
  </x:fills>
  <x:borders count="18">
    <x:border/>
    <x:border/>
    <x:border>
      <x:bottom style="thin">
        <x:color rgb="FF808080"/>
      </x:bottom>
    </x:border>
    <x:border>
      <x:bottom style="thin">
        <x:color rgb="FF808080"/>
      </x:bottom>
    </x:border>
    <x:border>
      <x:top style="thin">
        <x:color rgb="FF000000"/>
      </x:top>
    </x:border>
    <x:border>
      <x:top style="thin">
        <x:color rgb="FF000000"/>
      </x:top>
    </x:border>
    <x:border>
      <x:top style="medium">
        <x:color rgb="FF000000"/>
      </x:top>
    </x:border>
    <x:border>
      <x:top style="medium">
        <x:color rgb="FF000000"/>
      </x:top>
    </x:border>
    <x:border>
      <x:left style="thin">
        <x:color rgb="FFB0B0B0"/>
      </x:left>
    </x:border>
    <x:border>
      <x:right style="thin">
        <x:color rgb="FFB0B0B0"/>
      </x:right>
    </x:border>
    <x:border>
      <x:left style="thin">
        <x:color rgb="FFB0B0B0"/>
      </x:left>
      <x:bottom style="thin">
        <x:color rgb="FFB0B0B0"/>
      </x:bottom>
    </x:border>
    <x:border>
      <x:bottom style="thin">
        <x:color rgb="FFB0B0B0"/>
      </x:bottom>
    </x:border>
    <x:border>
      <x:right style="thin">
        <x:color rgb="FFB0B0B0"/>
      </x:right>
      <x:bottom style="thin">
        <x:color rgb="FFB0B0B0"/>
      </x:bottom>
    </x:border>
    <x:border>
      <x:left style="thin">
        <x:color rgb="FFB0B0B0"/>
      </x:left>
    </x:border>
    <x:border>
      <x:right style="thin">
        <x:color rgb="FFB0B0B0"/>
      </x:right>
    </x:border>
    <x:border>
      <x:left style="thin">
        <x:color rgb="FFB0B0B0"/>
      </x:left>
      <x:bottom style="thin">
        <x:color rgb="FFB0B0B0"/>
      </x:bottom>
    </x:border>
    <x:border>
      <x:bottom style="thin">
        <x:color rgb="FFB0B0B0"/>
      </x:bottom>
    </x:border>
    <x:border>
      <x:right style="thin">
        <x:color rgb="FFB0B0B0"/>
      </x:right>
      <x:bottom style="thin">
        <x:color rgb="FFB0B0B0"/>
      </x:bottom>
    </x:border>
  </x:borders>
  <x:cellStyleXfs count="1">
    <x:xf numFmtId="0" fontId="0" fillId="0" borderId="0"/>
  </x:cellStyleXfs>
  <x:cellXfs count="20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203" fontId="4" fillId="0" borderId="0" xfId="0" applyNumberFormat="1" applyFont="1" applyFill="1" applyBorder="1"/>
    <x:xf numFmtId="200" fontId="4" fillId="0" borderId="1" xfId="0" applyNumberFormat="1" applyFont="1" applyFill="1" applyBorder="1"/>
    <x:xf numFmtId="201" fontId="4" fillId="0" borderId="1" xfId="0" applyNumberFormat="1" applyFont="1" applyFill="1" applyBorder="1"/>
    <x:xf numFmtId="202" fontId="4" fillId="0" borderId="1" xfId="0" applyNumberFormat="1" applyFont="1" applyFill="1" applyBorder="1"/>
    <x:xf numFmtId="203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200" fontId="6" fillId="0" borderId="0" xfId="0" applyNumberFormat="1" applyFont="1" applyFill="1" applyBorder="1"/>
    <x:xf numFmtId="200" fontId="6" fillId="0" borderId="1" xfId="0" applyNumberFormat="1" applyFont="1" applyFill="1" applyBorder="1"/>
    <x:xf numFmtId="203" fontId="6" fillId="0" borderId="0" xfId="0" applyNumberFormat="1" applyFont="1" applyFill="1" applyBorder="1"/>
    <x:xf numFmtId="203" fontId="4" fillId="5" borderId="0" xfId="0" applyNumberFormat="1" applyFont="1" applyFill="1" applyBorder="1"/>
    <x:xf numFmtId="203" fontId="6" fillId="0" borderId="1" xfId="0" applyNumberFormat="1" applyFont="1" applyFill="1" applyBorder="1"/>
    <x:xf numFmtId="203" fontId="4" fillId="5" borderId="1" xfId="0" applyNumberFormat="1" applyFont="1" applyFill="1" applyBorder="1"/>
    <x:xf numFmtId="0" fontId="0" fillId="0" borderId="4" xfId="0" applyNumberFormat="1" applyFont="1" applyFill="1" applyBorder="1"/>
    <x:xf numFmtId="200" fontId="6" fillId="0" borderId="4" xfId="0" applyNumberFormat="1" applyFont="1" applyFill="1" applyBorder="1"/>
    <x:xf numFmtId="0" fontId="0" fillId="0" borderId="5" xfId="0" applyNumberFormat="1" applyFont="1" applyFill="1" applyBorder="1"/>
    <x:xf numFmtId="200" fontId="6" fillId="0" borderId="5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200" fontId="8" fillId="0" borderId="0" xfId="0" applyNumberFormat="1" applyFont="1" applyFill="1" applyBorder="1"/>
    <x:xf numFmtId="200" fontId="8" fillId="0" borderId="1" xfId="0" applyNumberFormat="1" applyFont="1" applyFill="1" applyBorder="1"/>
    <x:xf numFmtId="201" fontId="8" fillId="0" borderId="0" xfId="0" applyNumberFormat="1" applyFont="1" applyFill="1" applyBorder="1"/>
    <x:xf numFmtId="201" fontId="8" fillId="0" borderId="1" xfId="0" applyNumberFormat="1" applyFont="1" applyFill="1" applyBorder="1"/>
    <x:xf numFmtId="200" fontId="4" fillId="6" borderId="0" xfId="0" applyNumberFormat="1" applyFont="1" applyFill="1" applyBorder="1"/>
    <x:xf numFmtId="200" fontId="8" fillId="6" borderId="0" xfId="0" applyNumberFormat="1" applyFont="1" applyFill="1" applyBorder="1"/>
    <x:xf numFmtId="200" fontId="7" fillId="6" borderId="0" xfId="0" applyNumberFormat="1" applyFont="1" applyFill="1" applyBorder="1"/>
    <x:xf numFmtId="200" fontId="4" fillId="6" borderId="1" xfId="0" applyNumberFormat="1" applyFont="1" applyFill="1" applyBorder="1"/>
    <x:xf numFmtId="200" fontId="8" fillId="6" borderId="1" xfId="0" applyNumberFormat="1" applyFont="1" applyFill="1" applyBorder="1"/>
    <x:xf numFmtId="200" fontId="7" fillId="6" borderId="1" xfId="0" applyNumberFormat="1" applyFont="1" applyFill="1" applyBorder="1"/>
    <x:xf numFmtId="200" fontId="4" fillId="5" borderId="0" xfId="0" applyNumberFormat="1" applyFont="1" applyFill="1" applyBorder="1"/>
    <x:xf numFmtId="200" fontId="4" fillId="5" borderId="1" xfId="0" applyNumberFormat="1" applyFont="1" applyFill="1" applyBorder="1"/>
    <x:xf numFmtId="0" fontId="8" fillId="5" borderId="0" xfId="0" applyNumberFormat="1" applyFont="1" applyFill="1" applyBorder="1"/>
    <x:xf numFmtId="0" fontId="8" fillId="5" borderId="1" xfId="0" applyNumberFormat="1" applyFont="1" applyFill="1" applyBorder="1"/>
    <x:xf numFmtId="201" fontId="4" fillId="5" borderId="0" xfId="0" applyNumberFormat="1" applyFont="1" applyFill="1" applyBorder="1"/>
    <x:xf numFmtId="201" fontId="8" fillId="5" borderId="0" xfId="0" applyNumberFormat="1" applyFont="1" applyFill="1" applyBorder="1"/>
    <x:xf numFmtId="201" fontId="4" fillId="5" borderId="1" xfId="0" applyNumberFormat="1" applyFont="1" applyFill="1" applyBorder="1"/>
    <x:xf numFmtId="201" fontId="8" fillId="5" borderId="1" xfId="0" applyNumberFormat="1" applyFont="1" applyFill="1" applyBorder="1"/>
    <x:xf numFmtId="200" fontId="8" fillId="5" borderId="0" xfId="0" applyNumberFormat="1" applyFont="1" applyFill="1" applyBorder="1"/>
    <x:xf numFmtId="200" fontId="8" fillId="5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4" fontId="4" fillId="0" borderId="0" xfId="0" applyNumberFormat="1" applyFont="1" applyFill="1" applyBorder="1"/>
    <x:xf numFmtId="204" fontId="4" fillId="0" borderId="1" xfId="0" applyNumberFormat="1" applyFont="1" applyFill="1" applyBorder="1"/>
    <x:xf numFmtId="204" fontId="8" fillId="5" borderId="0" xfId="0" applyNumberFormat="1" applyFont="1" applyFill="1" applyBorder="1"/>
    <x:xf numFmtId="204" fontId="8" fillId="5" borderId="1" xfId="0" applyNumberFormat="1" applyFont="1" applyFill="1" applyBorder="1"/>
    <x:xf numFmtId="0" fontId="0" fillId="7" borderId="0" xfId="0" applyNumberFormat="1" applyFont="1" applyFill="1" applyBorder="1"/>
    <x:xf numFmtId="200" fontId="8" fillId="7" borderId="0" xfId="0" applyNumberFormat="1" applyFont="1" applyFill="1" applyBorder="1"/>
    <x:xf numFmtId="0" fontId="3" fillId="7" borderId="0" xfId="0" applyNumberFormat="1" applyFont="1" applyFill="1" applyBorder="1"/>
    <x:xf numFmtId="200" fontId="3" fillId="7" borderId="0" xfId="0" applyNumberFormat="1" applyFont="1" applyFill="1" applyBorder="1"/>
    <x:xf numFmtId="0" fontId="3" fillId="7" borderId="6" xfId="0" applyNumberFormat="1" applyFont="1" applyFill="1" applyBorder="1"/>
    <x:xf numFmtId="200" fontId="3" fillId="7" borderId="6" xfId="0" applyNumberFormat="1" applyFont="1" applyFill="1" applyBorder="1"/>
    <x:xf numFmtId="0" fontId="0" fillId="7" borderId="1" xfId="0" applyNumberFormat="1" applyFont="1" applyFill="1" applyBorder="1"/>
    <x:xf numFmtId="200" fontId="8" fillId="7" borderId="1" xfId="0" applyNumberFormat="1" applyFont="1" applyFill="1" applyBorder="1"/>
    <x:xf numFmtId="0" fontId="3" fillId="7" borderId="1" xfId="0" applyNumberFormat="1" applyFont="1" applyFill="1" applyBorder="1"/>
    <x:xf numFmtId="200" fontId="3" fillId="7" borderId="1" xfId="0" applyNumberFormat="1" applyFont="1" applyFill="1" applyBorder="1"/>
    <x:xf numFmtId="0" fontId="3" fillId="7" borderId="7" xfId="0" applyNumberFormat="1" applyFont="1" applyFill="1" applyBorder="1"/>
    <x:xf numFmtId="200" fontId="3" fillId="7" borderId="7" xfId="0" applyNumberFormat="1" applyFont="1" applyFill="1" applyBorder="1"/>
    <x:xf numFmtId="205" fontId="8" fillId="0" borderId="0" xfId="0" applyNumberFormat="1" applyFont="1" applyFill="1" applyBorder="1"/>
    <x:xf numFmtId="205" fontId="8" fillId="0" borderId="1" xfId="0" applyNumberFormat="1" applyFont="1" applyFill="1" applyBorder="1"/>
    <x:xf numFmtId="200" fontId="8" fillId="0" borderId="4" xfId="0" applyNumberFormat="1" applyFont="1" applyFill="1" applyBorder="1"/>
    <x:xf numFmtId="200" fontId="8" fillId="0" borderId="5" xfId="0" applyNumberFormat="1" applyFont="1" applyFill="1" applyBorder="1"/>
    <x:xf numFmtId="204" fontId="4" fillId="5" borderId="0" xfId="0" applyNumberFormat="1" applyFont="1" applyFill="1" applyBorder="1"/>
    <x:xf numFmtId="204" fontId="4" fillId="5" borderId="1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horizontal="center"/>
    </x:xf>
    <x:xf numFmtId="0" fontId="9" fillId="6" borderId="1" xfId="0" applyNumberFormat="1" applyFont="1" applyFill="1" applyBorder="1"/>
    <x:xf numFmtId="0" fontId="9" fillId="6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8" xfId="0" applyNumberFormat="1" applyFont="1" applyFill="1" applyBorder="1"/>
    <x:xf numFmtId="0" fontId="10" fillId="8" borderId="9" xfId="0" applyNumberFormat="1" applyFont="1" applyFill="1" applyBorder="1"/>
    <x:xf numFmtId="0" fontId="10" fillId="8" borderId="10" xfId="0" applyNumberFormat="1" applyFont="1" applyFill="1" applyBorder="1"/>
    <x:xf numFmtId="0" fontId="10" fillId="8" borderId="11" xfId="0" applyNumberFormat="1" applyFont="1" applyFill="1" applyBorder="1"/>
    <x:xf numFmtId="0" fontId="10" fillId="8" borderId="12" xfId="0" applyNumberFormat="1" applyFont="1" applyFill="1" applyBorder="1"/>
    <x:xf numFmtId="0" fontId="10" fillId="8" borderId="8" xfId="0" applyNumberFormat="1" applyFont="1" applyFill="1" applyBorder="1" applyAlignment="1">
      <x:alignment horizontal="center"/>
    </x:xf>
    <x:xf numFmtId="0" fontId="10" fillId="8" borderId="0" xfId="0" applyNumberFormat="1" applyFont="1" applyFill="1" applyBorder="1" applyAlignment="1">
      <x:alignment horizontal="center"/>
    </x:xf>
    <x:xf numFmtId="0" fontId="10" fillId="8" borderId="9" xfId="0" applyNumberFormat="1" applyFont="1" applyFill="1" applyBorder="1" applyAlignment="1">
      <x:alignment horizontal="center"/>
    </x:xf>
    <x:xf numFmtId="0" fontId="10" fillId="8" borderId="10" xfId="0" applyNumberFormat="1" applyFont="1" applyFill="1" applyBorder="1" applyAlignment="1">
      <x:alignment horizontal="center"/>
    </x:xf>
    <x:xf numFmtId="0" fontId="10" fillId="8" borderId="11" xfId="0" applyNumberFormat="1" applyFont="1" applyFill="1" applyBorder="1" applyAlignment="1">
      <x:alignment horizontal="center"/>
    </x:xf>
    <x:xf numFmtId="0" fontId="10" fillId="8" borderId="12" xfId="0" applyNumberFormat="1" applyFont="1" applyFill="1" applyBorder="1" applyAlignment="1">
      <x:alignment horizontal="center"/>
    </x:xf>
    <x:xf numFmtId="0" fontId="10" fillId="8" borderId="8" xfId="0" applyNumberFormat="1" applyFont="1" applyFill="1" applyBorder="1" applyAlignment="1">
      <x:alignment horizontal="center" vertical="center"/>
    </x:xf>
    <x:xf numFmtId="0" fontId="10" fillId="8" borderId="0" xfId="0" applyNumberFormat="1" applyFont="1" applyFill="1" applyBorder="1" applyAlignment="1">
      <x:alignment horizontal="center" vertical="center"/>
    </x:xf>
    <x:xf numFmtId="0" fontId="10" fillId="8" borderId="9" xfId="0" applyNumberFormat="1" applyFont="1" applyFill="1" applyBorder="1" applyAlignment="1">
      <x:alignment horizontal="center" vertical="center"/>
    </x:xf>
    <x:xf numFmtId="0" fontId="10" fillId="8" borderId="10" xfId="0" applyNumberFormat="1" applyFont="1" applyFill="1" applyBorder="1" applyAlignment="1">
      <x:alignment horizontal="center" vertical="center"/>
    </x:xf>
    <x:xf numFmtId="0" fontId="10" fillId="8" borderId="11" xfId="0" applyNumberFormat="1" applyFont="1" applyFill="1" applyBorder="1" applyAlignment="1">
      <x:alignment horizontal="center" vertical="center"/>
    </x:xf>
    <x:xf numFmtId="0" fontId="10" fillId="8" borderId="12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/>
    <x:xf numFmtId="0" fontId="10" fillId="8" borderId="1" xfId="0" applyNumberFormat="1" applyFont="1" applyFill="1" applyBorder="1"/>
    <x:xf numFmtId="0" fontId="10" fillId="8" borderId="13" xfId="0" applyNumberFormat="1" applyFont="1" applyFill="1" applyBorder="1"/>
    <x:xf numFmtId="0" fontId="10" fillId="8" borderId="14" xfId="0" applyNumberFormat="1" applyFont="1" applyFill="1" applyBorder="1"/>
    <x:xf numFmtId="0" fontId="10" fillId="8" borderId="15" xfId="0" applyNumberFormat="1" applyFont="1" applyFill="1" applyBorder="1"/>
    <x:xf numFmtId="0" fontId="10" fillId="8" borderId="16" xfId="0" applyNumberFormat="1" applyFont="1" applyFill="1" applyBorder="1"/>
    <x:xf numFmtId="0" fontId="10" fillId="8" borderId="17" xfId="0" applyNumberFormat="1" applyFont="1" applyFill="1" applyBorder="1"/>
    <x:xf numFmtId="0" fontId="10" fillId="8" borderId="13" xfId="0" applyNumberFormat="1" applyFont="1" applyFill="1" applyBorder="1" applyAlignment="1">
      <x:alignment horizontal="center"/>
    </x:xf>
    <x:xf numFmtId="0" fontId="10" fillId="8" borderId="1" xfId="0" applyNumberFormat="1" applyFont="1" applyFill="1" applyBorder="1" applyAlignment="1">
      <x:alignment horizontal="center"/>
    </x:xf>
    <x:xf numFmtId="0" fontId="10" fillId="8" borderId="14" xfId="0" applyNumberFormat="1" applyFont="1" applyFill="1" applyBorder="1" applyAlignment="1">
      <x:alignment horizontal="center"/>
    </x:xf>
    <x:xf numFmtId="0" fontId="10" fillId="8" borderId="15" xfId="0" applyNumberFormat="1" applyFont="1" applyFill="1" applyBorder="1" applyAlignment="1">
      <x:alignment horizontal="center"/>
    </x:xf>
    <x:xf numFmtId="0" fontId="10" fillId="8" borderId="16" xfId="0" applyNumberFormat="1" applyFont="1" applyFill="1" applyBorder="1" applyAlignment="1">
      <x:alignment horizontal="center"/>
    </x:xf>
    <x:xf numFmtId="0" fontId="10" fillId="8" borderId="17" xfId="0" applyNumberFormat="1" applyFont="1" applyFill="1" applyBorder="1" applyAlignment="1">
      <x:alignment horizontal="center"/>
    </x:xf>
    <x:xf numFmtId="0" fontId="10" fillId="8" borderId="13" xfId="0" applyNumberFormat="1" applyFont="1" applyFill="1" applyBorder="1" applyAlignment="1">
      <x:alignment horizontal="center" vertical="center"/>
    </x:xf>
    <x:xf numFmtId="0" fontId="10" fillId="8" borderId="1" xfId="0" applyNumberFormat="1" applyFont="1" applyFill="1" applyBorder="1" applyAlignment="1">
      <x:alignment horizontal="center" vertical="center"/>
    </x:xf>
    <x:xf numFmtId="0" fontId="10" fillId="8" borderId="14" xfId="0" applyNumberFormat="1" applyFont="1" applyFill="1" applyBorder="1" applyAlignment="1">
      <x:alignment horizontal="center" vertical="center"/>
    </x:xf>
    <x:xf numFmtId="0" fontId="10" fillId="8" borderId="15" xfId="0" applyNumberFormat="1" applyFont="1" applyFill="1" applyBorder="1" applyAlignment="1">
      <x:alignment horizontal="center" vertical="center"/>
    </x:xf>
    <x:xf numFmtId="0" fontId="10" fillId="8" borderId="16" xfId="0" applyNumberFormat="1" applyFont="1" applyFill="1" applyBorder="1" applyAlignment="1">
      <x:alignment horizontal="center" vertical="center"/>
    </x:xf>
    <x:xf numFmtId="0" fontId="10" fillId="8" borderId="17" xfId="0" applyNumberFormat="1" applyFont="1" applyFill="1" applyBorder="1" applyAlignment="1">
      <x:alignment horizontal="center" vertical="center"/>
    </x:xf>
    <x:xf numFmtId="200" fontId="10" fillId="8" borderId="8" xfId="0" applyNumberFormat="1" applyFont="1" applyFill="1" applyBorder="1" applyAlignment="1">
      <x:alignment horizontal="center" vertical="center"/>
    </x:xf>
    <x:xf numFmtId="200" fontId="10" fillId="8" borderId="13" xfId="0" applyNumberFormat="1" applyFont="1" applyFill="1" applyBorder="1" applyAlignment="1">
      <x:alignment horizontal="center" vertical="center"/>
    </x:xf>
    <x:xf numFmtId="201" fontId="10" fillId="8" borderId="8" xfId="0" applyNumberFormat="1" applyFont="1" applyFill="1" applyBorder="1" applyAlignment="1">
      <x:alignment horizontal="center" vertical="center"/>
    </x:xf>
    <x:xf numFmtId="201" fontId="10" fillId="8" borderId="13" xfId="0" applyNumberFormat="1" applyFont="1" applyFill="1" applyBorder="1" applyAlignment="1">
      <x:alignment horizontal="center" vertical="center"/>
    </x:xf>
    <x:xf numFmtId="0" fontId="11" fillId="8" borderId="0" xfId="0" applyNumberFormat="1" applyFont="1" applyFill="1" applyBorder="1"/>
    <x:xf numFmtId="0" fontId="11" fillId="8" borderId="8" xfId="0" applyNumberFormat="1" applyFont="1" applyFill="1" applyBorder="1"/>
    <x:xf numFmtId="0" fontId="11" fillId="8" borderId="9" xfId="0" applyNumberFormat="1" applyFont="1" applyFill="1" applyBorder="1"/>
    <x:xf numFmtId="0" fontId="11" fillId="8" borderId="10" xfId="0" applyNumberFormat="1" applyFont="1" applyFill="1" applyBorder="1"/>
    <x:xf numFmtId="0" fontId="11" fillId="8" borderId="11" xfId="0" applyNumberFormat="1" applyFont="1" applyFill="1" applyBorder="1"/>
    <x:xf numFmtId="0" fontId="11" fillId="8" borderId="12" xfId="0" applyNumberFormat="1" applyFont="1" applyFill="1" applyBorder="1"/>
    <x:xf numFmtId="0" fontId="11" fillId="8" borderId="8" xfId="0" applyNumberFormat="1" applyFont="1" applyFill="1" applyBorder="1" applyAlignment="1">
      <x:alignment horizontal="center"/>
    </x:xf>
    <x:xf numFmtId="0" fontId="11" fillId="8" borderId="0" xfId="0" applyNumberFormat="1" applyFont="1" applyFill="1" applyBorder="1" applyAlignment="1">
      <x:alignment horizontal="center"/>
    </x:xf>
    <x:xf numFmtId="0" fontId="11" fillId="8" borderId="9" xfId="0" applyNumberFormat="1" applyFont="1" applyFill="1" applyBorder="1" applyAlignment="1">
      <x:alignment horizontal="center"/>
    </x:xf>
    <x:xf numFmtId="0" fontId="11" fillId="8" borderId="10" xfId="0" applyNumberFormat="1" applyFont="1" applyFill="1" applyBorder="1" applyAlignment="1">
      <x:alignment horizontal="center"/>
    </x:xf>
    <x:xf numFmtId="0" fontId="11" fillId="8" borderId="11" xfId="0" applyNumberFormat="1" applyFont="1" applyFill="1" applyBorder="1" applyAlignment="1">
      <x:alignment horizontal="center"/>
    </x:xf>
    <x:xf numFmtId="0" fontId="11" fillId="8" borderId="12" xfId="0" applyNumberFormat="1" applyFont="1" applyFill="1" applyBorder="1" applyAlignment="1">
      <x:alignment horizontal="center"/>
    </x:xf>
    <x:xf numFmtId="0" fontId="11" fillId="8" borderId="8" xfId="0" applyNumberFormat="1" applyFont="1" applyFill="1" applyBorder="1" applyAlignment="1">
      <x:alignment horizontal="center" vertical="center"/>
    </x:xf>
    <x:xf numFmtId="0" fontId="11" fillId="8" borderId="0" xfId="0" applyNumberFormat="1" applyFont="1" applyFill="1" applyBorder="1" applyAlignment="1">
      <x:alignment horizontal="center" vertical="center"/>
    </x:xf>
    <x:xf numFmtId="0" fontId="11" fillId="8" borderId="9" xfId="0" applyNumberFormat="1" applyFont="1" applyFill="1" applyBorder="1" applyAlignment="1">
      <x:alignment horizontal="center" vertical="center"/>
    </x:xf>
    <x:xf numFmtId="0" fontId="11" fillId="8" borderId="10" xfId="0" applyNumberFormat="1" applyFont="1" applyFill="1" applyBorder="1" applyAlignment="1">
      <x:alignment horizontal="center" vertical="center"/>
    </x:xf>
    <x:xf numFmtId="0" fontId="11" fillId="8" borderId="11" xfId="0" applyNumberFormat="1" applyFont="1" applyFill="1" applyBorder="1" applyAlignment="1">
      <x:alignment horizontal="center" vertical="center"/>
    </x:xf>
    <x:xf numFmtId="0" fontId="11" fillId="8" borderId="12" xfId="0" applyNumberFormat="1" applyFont="1" applyFill="1" applyBorder="1" applyAlignment="1">
      <x:alignment horizontal="center" vertical="center"/>
    </x:xf>
    <x:xf numFmtId="0" fontId="11" fillId="8" borderId="1" xfId="0" applyNumberFormat="1" applyFont="1" applyFill="1" applyBorder="1"/>
    <x:xf numFmtId="0" fontId="11" fillId="8" borderId="13" xfId="0" applyNumberFormat="1" applyFont="1" applyFill="1" applyBorder="1"/>
    <x:xf numFmtId="0" fontId="11" fillId="8" borderId="14" xfId="0" applyNumberFormat="1" applyFont="1" applyFill="1" applyBorder="1"/>
    <x:xf numFmtId="0" fontId="11" fillId="8" borderId="15" xfId="0" applyNumberFormat="1" applyFont="1" applyFill="1" applyBorder="1"/>
    <x:xf numFmtId="0" fontId="11" fillId="8" borderId="16" xfId="0" applyNumberFormat="1" applyFont="1" applyFill="1" applyBorder="1"/>
    <x:xf numFmtId="0" fontId="11" fillId="8" borderId="17" xfId="0" applyNumberFormat="1" applyFont="1" applyFill="1" applyBorder="1"/>
    <x:xf numFmtId="0" fontId="11" fillId="8" borderId="13" xfId="0" applyNumberFormat="1" applyFont="1" applyFill="1" applyBorder="1" applyAlignment="1">
      <x:alignment horizontal="center"/>
    </x:xf>
    <x:xf numFmtId="0" fontId="11" fillId="8" borderId="1" xfId="0" applyNumberFormat="1" applyFont="1" applyFill="1" applyBorder="1" applyAlignment="1">
      <x:alignment horizontal="center"/>
    </x:xf>
    <x:xf numFmtId="0" fontId="11" fillId="8" borderId="14" xfId="0" applyNumberFormat="1" applyFont="1" applyFill="1" applyBorder="1" applyAlignment="1">
      <x:alignment horizontal="center"/>
    </x:xf>
    <x:xf numFmtId="0" fontId="11" fillId="8" borderId="15" xfId="0" applyNumberFormat="1" applyFont="1" applyFill="1" applyBorder="1" applyAlignment="1">
      <x:alignment horizontal="center"/>
    </x:xf>
    <x:xf numFmtId="0" fontId="11" fillId="8" borderId="16" xfId="0" applyNumberFormat="1" applyFont="1" applyFill="1" applyBorder="1" applyAlignment="1">
      <x:alignment horizontal="center"/>
    </x:xf>
    <x:xf numFmtId="0" fontId="11" fillId="8" borderId="17" xfId="0" applyNumberFormat="1" applyFont="1" applyFill="1" applyBorder="1" applyAlignment="1">
      <x:alignment horizontal="center"/>
    </x:xf>
    <x:xf numFmtId="0" fontId="11" fillId="8" borderId="13" xfId="0" applyNumberFormat="1" applyFont="1" applyFill="1" applyBorder="1" applyAlignment="1">
      <x:alignment horizontal="center" vertical="center"/>
    </x:xf>
    <x:xf numFmtId="0" fontId="11" fillId="8" borderId="1" xfId="0" applyNumberFormat="1" applyFont="1" applyFill="1" applyBorder="1" applyAlignment="1">
      <x:alignment horizontal="center" vertical="center"/>
    </x:xf>
    <x:xf numFmtId="0" fontId="11" fillId="8" borderId="14" xfId="0" applyNumberFormat="1" applyFont="1" applyFill="1" applyBorder="1" applyAlignment="1">
      <x:alignment horizontal="center" vertical="center"/>
    </x:xf>
    <x:xf numFmtId="0" fontId="11" fillId="8" borderId="15" xfId="0" applyNumberFormat="1" applyFont="1" applyFill="1" applyBorder="1" applyAlignment="1">
      <x:alignment horizontal="center" vertical="center"/>
    </x:xf>
    <x:xf numFmtId="0" fontId="11" fillId="8" borderId="16" xfId="0" applyNumberFormat="1" applyFont="1" applyFill="1" applyBorder="1" applyAlignment="1">
      <x:alignment horizontal="center" vertical="center"/>
    </x:xf>
    <x:xf numFmtId="0" fontId="11" fillId="8" borderId="17" xfId="0" applyNumberFormat="1" applyFont="1" applyFill="1" applyBorder="1" applyAlignment="1">
      <x:alignment horizontal="center" vertical="center"/>
    </x:xf>
    <x:xf numFmtId="200" fontId="6" fillId="7" borderId="0" xfId="0" applyNumberFormat="1" applyFont="1" applyFill="1" applyBorder="1"/>
    <x:xf numFmtId="200" fontId="6" fillId="7" borderId="1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0" fontId="12" fillId="0" borderId="1" xfId="0" applyNumberFormat="1" applyFont="1" applyFill="1" applyBorder="1" applyAlignment="1">
      <x:alignment wrapText="1"/>
    </x:xf>
    <x:xf numFmtId="0" fontId="13" fillId="6" borderId="0" xfId="0" applyNumberFormat="1" applyFont="1" applyFill="1" applyBorder="1"/>
    <x:xf numFmtId="0" fontId="13" fillId="6" borderId="1" xfId="0" applyNumberFormat="1" applyFont="1" applyFill="1" applyBorder="1"/>
    <x:xf numFmtId="200" fontId="13" fillId="6" borderId="0" xfId="0" applyNumberFormat="1" applyFont="1" applyFill="1" applyBorder="1"/>
    <x:xf numFmtId="200" fontId="13" fillId="6" borderId="1" xfId="0" applyNumberFormat="1" applyFont="1" applyFill="1" applyBorder="1"/>
    <x:xf numFmtId="200" fontId="14" fillId="6" borderId="0" xfId="0" applyNumberFormat="1" applyFont="1" applyFill="1" applyBorder="1"/>
    <x:xf numFmtId="200" fontId="14" fillId="6" borderId="1" xfId="0" applyNumberFormat="1" applyFont="1" applyFill="1" applyBorder="1"/>
    <x:xf numFmtId="200" fontId="0" fillId="6" borderId="0" xfId="0" applyNumberFormat="1" applyFont="1" applyFill="1" applyBorder="1"/>
    <x:xf numFmtId="200" fontId="0" fillId="6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9220f9d0894dac" /><Relationship Type="http://schemas.openxmlformats.org/officeDocument/2006/relationships/theme" Target="/xl/theme/theme1.xml" Id="R2fae87266a0d46ec" /><Relationship Type="http://schemas.openxmlformats.org/officeDocument/2006/relationships/sharedStrings" Target="/xl/sharedStrings.xml" Id="R8dec0631b7834a07" /><Relationship Type="http://schemas.openxmlformats.org/officeDocument/2006/relationships/worksheet" Target="/xl/worksheets/sheet1.xml" Id="Re5c947ff26f643b8" /><Relationship Type="http://schemas.openxmlformats.org/officeDocument/2006/relationships/worksheet" Target="/xl/worksheets/sheet2.xml" Id="Rbee5436030974bb8" /><Relationship Type="http://schemas.openxmlformats.org/officeDocument/2006/relationships/worksheet" Target="/xl/worksheets/sheet3.xml" Id="Rf26d9ac64b754cd9" /><Relationship Type="http://schemas.openxmlformats.org/officeDocument/2006/relationships/worksheet" Target="/xl/worksheets/sheet4.xml" Id="Rcf8281089afb4961" /><Relationship Type="http://schemas.openxmlformats.org/officeDocument/2006/relationships/worksheet" Target="/xl/worksheets/sheet5.xml" Id="Rcc913ee99e424a4d" /><Relationship Type="http://schemas.openxmlformats.org/officeDocument/2006/relationships/worksheet" Target="/xl/worksheets/sheet6.xml" Id="Rc970fdf8ddb44a4d" /><Relationship Type="http://schemas.openxmlformats.org/officeDocument/2006/relationships/worksheet" Target="/xl/worksheets/sheet7.xml" Id="Rfe4a7368e82a4d02" /><Relationship Type="http://schemas.openxmlformats.org/officeDocument/2006/relationships/worksheet" Target="/xl/worksheets/sheet8.xml" Id="R0a7748691a7e497c" /><Relationship Type="http://schemas.openxmlformats.org/officeDocument/2006/relationships/worksheet" Target="/xl/worksheets/sheet9.xml" Id="R5b0f937764bb4657" /><Relationship Type="http://schemas.openxmlformats.org/officeDocument/2006/relationships/worksheet" Target="/xl/worksheets/sheet10.xml" Id="Rba9eae0efd9f4af6" /><Relationship Type="http://schemas.openxmlformats.org/officeDocument/2006/relationships/worksheet" Target="/xl/worksheets/sheet11.xml" Id="R708f5b22c7c9482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61198a7212c4110" /><Relationship Type="http://schemas.openxmlformats.org/officeDocument/2006/relationships/chart" Target="/xl/drawings/charts/chart2.xml" Id="R07dce2090738488f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lineChart>
        <c:grouping val="standard"/>
        <c:ser>
          <c:idx val="0"/>
          <c:order val="0"/>
          <c:tx>
            <c:v>Revenue</c:v>
          </c:tx>
          <c:cat>
            <c:strRef>
              <c:f>'Dashboard'!$P$17:$Y$17</c:f>
              <c:strCache>
                <c:ptCount val="0"/>
              </c:strCache>
            </c:strRef>
          </c:cat>
          <c:val>
            <c:numRef>
              <c:f>'Dashboard'!$P$18:$Y$18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Adjusted EBITDA</c:v>
          </c:tx>
          <c:cat>
            <c:strRef>
              <c:f>'Dashboard'!$P$17:$Y$17</c:f>
              <c:strCache>
                <c:ptCount val="0"/>
              </c:strCache>
            </c:strRef>
          </c:cat>
          <c:val>
            <c:numRef>
              <c:f>'Dashboard'!$P$19:$Y$19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lineChart>
        <c:grouping val="standard"/>
        <c:ser>
          <c:idx val="0"/>
          <c:order val="0"/>
          <c:tx>
            <c:v>Shopee</c:v>
          </c:tx>
          <c:cat>
            <c:strRef>
              <c:f>'Dashboard'!$P$22:$Y$22</c:f>
              <c:strCache>
                <c:ptCount val="0"/>
              </c:strCache>
            </c:strRef>
          </c:cat>
          <c:val>
            <c:numRef>
              <c:f>'Dashboard'!$P$23:$Y$23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Monee</c:v>
          </c:tx>
          <c:cat>
            <c:strRef>
              <c:f>'Dashboard'!$P$22:$Y$22</c:f>
              <c:strCache>
                <c:ptCount val="0"/>
              </c:strCache>
            </c:strRef>
          </c:cat>
          <c:val>
            <c:numRef>
              <c:f>'Dashboard'!$P$24:$Y$24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Garena</c:v>
          </c:tx>
          <c:cat>
            <c:strRef>
              <c:f>'Dashboard'!$P$22:$Y$22</c:f>
              <c:strCache>
                <c:ptCount val="0"/>
              </c:strCache>
            </c:strRef>
          </c:cat>
          <c:val>
            <c:numRef>
              <c:f>'Dashboard'!$P$25:$Y$25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15</xdr:row>
      <xdr:rowOff>0</xdr:rowOff>
    </xdr:from>
    <xdr:to>
      <xdr:col>14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61198a7212c4110"/>
        </a:graphicData>
      </a:graphic>
    </xdr:graphicFrame>
    <xdr:clientData/>
  </xdr:twoCellAnchor>
  <xdr:twoCellAnchor>
    <xdr:from>
      <xdr:col>5</xdr:col>
      <xdr:colOff>0</xdr:colOff>
      <xdr:row>23</xdr:row>
      <xdr:rowOff>0</xdr:rowOff>
    </xdr:from>
    <xdr:to>
      <xdr:col>14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7dce2090738488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4431a26dde52463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0" hidden="0" customWidth="1"/>
    <x:col min="3" max="3" width="18" hidden="0" customWidth="1"/>
    <x:col min="4" max="4" width="54" hidden="0" customWidth="1"/>
    <x:col min="5" max="5" width="67" hidden="0" customWidth="1"/>
    <x:col min="6" max="6" width="12" hidden="0" customWidth="1"/>
  </x:cols>
  <x:sheetData>
    <x:row r="1" ht="28" customHeight="1">
      <x:c r="A1" s="4" t="str">
        <x:v>Sea Limited (SE) Full Valuation Model — Source Register</x:v>
      </x:c>
      <x:c r="B1" s="4"/>
      <x:c r="C1" s="4"/>
      <x:c r="D1" s="4"/>
      <x:c r="E1" s="4"/>
      <x:c r="F1" s="4"/>
    </x:row>
    <x:row r="2" ht="28" customHeight="1">
      <x:c r="A2" s="10" t="str">
        <x:v>Model date: 7 Aug 2026. Latest reported quarter is Q1 2026; Q2 2026 results are scheduled for 11 Aug 2026 and are not included.</x:v>
      </x:c>
      <x:c r="B2" s="10"/>
      <x:c r="C2" s="10"/>
      <x:c r="D2" s="10"/>
      <x:c r="E2" s="10"/>
      <x:c r="F2" s="10"/>
    </x:row>
    <x:row r="4">
      <x:c r="A4" s="19" t="str">
        <x:v>ID</x:v>
      </x:c>
      <x:c r="B4" s="19" t="str">
        <x:v>Source / date</x:v>
      </x:c>
      <x:c r="C4" s="19" t="str">
        <x:v>Type</x:v>
      </x:c>
      <x:c r="D4" s="19" t="str">
        <x:v>Key facts used</x:v>
      </x:c>
      <x:c r="E4" s="19" t="str">
        <x:v>URL</x:v>
      </x:c>
      <x:c r="F4" s="19" t="str">
        <x:v>Quality</x:v>
      </x:c>
    </x:row>
    <x:row r="5">
      <x:c r="A5" s="26" t="str">
        <x:v>S1</x:v>
      </x:c>
      <x:c r="B5" s="26" t="str">
        <x:v>Sea Limited Q1 2026 Results — May 12, 2026</x:v>
      </x:c>
      <x:c r="C5" s="26" t="str">
        <x:v>SEC / company</x:v>
      </x:c>
      <x:c r="D5" s="26" t="str">
        <x:v>Q1 revenue, segment revenue/EBITDA, Shopee GMV/orders, Monee loans/NPL, Garena bookings/users, balance sheet, cash flow, diluted shares</x:v>
      </x:c>
      <x:c r="E5" s="26" t="str">
        <x:v>https://www.sec.gov/Archives/edgar/data/1703399/000119312526219378/d78490dex991.htm</x:v>
      </x:c>
      <x:c r="F5" s="26" t="str">
        <x:v>Primary</x:v>
      </x:c>
    </x:row>
    <x:row r="6">
      <x:c r="A6" s="26" t="str">
        <x:v>S2</x:v>
      </x:c>
      <x:c r="B6" s="26" t="str">
        <x:v>Sea Limited FY2025 Results — Mar 3, 2026</x:v>
      </x:c>
      <x:c r="C6" s="26" t="str">
        <x:v>SEC / company</x:v>
      </x:c>
      <x:c r="D6" s="26" t="str">
        <x:v>2025 group revenue/EBITDA/net income; Shopee GMV/revenue/EBITDA; Monee revenue/EBITDA/loans; Garena bookings/revenue/EBITDA; 2026 Shopee guidance</x:v>
      </x:c>
      <x:c r="E6" s="26" t="str">
        <x:v>https://www.sec.gov/Archives/edgar/data/1703399/000119312526088151/d106475dex991.htm</x:v>
      </x:c>
      <x:c r="F6" s="26" t="str">
        <x:v>Primary</x:v>
      </x:c>
    </x:row>
    <x:row r="7">
      <x:c r="A7" s="26" t="str">
        <x:v>S3</x:v>
      </x:c>
      <x:c r="B7" s="26" t="str">
        <x:v>Sea Limited 2025 Form 20-F — Apr 2026</x:v>
      </x:c>
      <x:c r="C7" s="26" t="str">
        <x:v>SEC filing</x:v>
      </x:c>
      <x:c r="D7" s="26" t="str">
        <x:v>2023-2025 gross profit/margins, 2025 detailed operating expenses, segment economics and disclosures</x:v>
      </x:c>
      <x:c r="E7" s="26" t="str">
        <x:v>https://www.sec.gov/Archives/edgar/data/1703399/000114036126015366/ef20067274_20f.htm</x:v>
      </x:c>
      <x:c r="F7" s="26" t="str">
        <x:v>Primary</x:v>
      </x:c>
    </x:row>
    <x:row r="8">
      <x:c r="A8" s="26" t="str">
        <x:v>S4</x:v>
      </x:c>
      <x:c r="B8" s="26" t="str">
        <x:v>Sea Limited FY2024 Results — Mar 4, 2025</x:v>
      </x:c>
      <x:c r="C8" s="26" t="str">
        <x:v>SEC / company</x:v>
      </x:c>
      <x:c r="D8" s="26" t="str">
        <x:v>2023-2024 revenue/EBITDA/net income, 2024 Shopee GMV, Monee loan book/NPL, Garena bookings</x:v>
      </x:c>
      <x:c r="E8" s="26" t="str">
        <x:v>https://www.sec.gov/Archives/edgar/data/1703399/000119312525045576/d930776dex991.htm</x:v>
      </x:c>
      <x:c r="F8" s="26" t="str">
        <x:v>Primary</x:v>
      </x:c>
    </x:row>
    <x:row r="9">
      <x:c r="A9" s="26" t="str">
        <x:v>S5</x:v>
      </x:c>
      <x:c r="B9" s="26" t="str">
        <x:v>SE live quote — Aug 7, 2026</x:v>
      </x:c>
      <x:c r="C9" s="26" t="str">
        <x:v>MarketWatch</x:v>
      </x:c>
      <x:c r="D9" s="26" t="str">
        <x:v>SE $113.91 intraday at 11:00 ET; market cap $67.99B</x:v>
      </x:c>
      <x:c r="E9" s="26" t="str">
        <x:v>https://www.marketwatch.com/investing/stock/se</x:v>
      </x:c>
      <x:c r="F9" s="26" t="str">
        <x:v>High</x:v>
      </x:c>
    </x:row>
    <x:row r="10">
      <x:c r="A10" s="26" t="str">
        <x:v>S6</x:v>
      </x:c>
      <x:c r="B10" s="26" t="str">
        <x:v>MercadoLibre current ratios — Jul 2026</x:v>
      </x:c>
      <x:c r="C10" s="26" t="str">
        <x:v>StockAnalysis</x:v>
      </x:c>
      <x:c r="D10" s="26" t="str">
        <x:v>MELI EV/EBITDA ~25.1x; forward PE ~45x, e-commerce ecosystem reference</x:v>
      </x:c>
      <x:c r="E10" s="26" t="str">
        <x:v>https://stockanalysis.com/stocks/meli/financials/ratios/</x:v>
      </x:c>
      <x:c r="F10" s="26" t="str">
        <x:v>Secondary</x:v>
      </x:c>
    </x:row>
    <x:row r="11">
      <x:c r="A11" s="26" t="str">
        <x:v>S7</x:v>
      </x:c>
      <x:c r="B11" s="26" t="str">
        <x:v>Nu Holdings current ratios — Jul 2026</x:v>
      </x:c>
      <x:c r="C11" s="26" t="str">
        <x:v>StockAnalysis</x:v>
      </x:c>
      <x:c r="D11" s="26" t="str">
        <x:v>NU PE ~22x and forward PE ~17x, digital-financial-services reference</x:v>
      </x:c>
      <x:c r="E11" s="26" t="str">
        <x:v>https://stockanalysis.com/stocks/nu/financials/ratios/</x:v>
      </x:c>
      <x:c r="F11" s="26" t="str">
        <x:v>Secondary</x:v>
      </x:c>
    </x:row>
    <x:row r="12">
      <x:c r="A12" s="26" t="str">
        <x:v>S8</x:v>
      </x:c>
      <x:c r="B12" s="26" t="str">
        <x:v>NetEase current ratios — Jul 2026</x:v>
      </x:c>
      <x:c r="C12" s="26" t="str">
        <x:v>StockAnalysis</x:v>
      </x:c>
      <x:c r="D12" s="26" t="str">
        <x:v>NTES EV/EBITDA ~9.9x, gaming reference</x:v>
      </x:c>
      <x:c r="E12" s="26" t="str">
        <x:v>https://stockanalysis.com/stocks/ntes/financials/ratios/</x:v>
      </x:c>
      <x:c r="F12" s="26" t="str">
        <x:v>Secondary</x:v>
      </x:c>
    </x:row>
    <x:row r="13">
      <x:c r="A13" s="26" t="str">
        <x:v>S9</x:v>
      </x:c>
      <x:c r="B13" s="26" t="str">
        <x:v>SE current ratios — Jul 2026</x:v>
      </x:c>
      <x:c r="C13" s="26" t="str">
        <x:v>StockAnalysis</x:v>
      </x:c>
      <x:c r="D13" s="26" t="str">
        <x:v>SE PE ~42x / forward PE mid-20s / current EV ~$59-63B reference</x:v>
      </x:c>
      <x:c r="E13" s="26" t="str">
        <x:v>https://stockanalysis.com/stocks/se/financials/ratios/</x:v>
      </x:c>
      <x:c r="F13" s="26" t="str">
        <x:v>Secondary</x:v>
      </x:c>
    </x:row>
    <x:row r="14">
      <x:c r="A14" s="26" t="str">
        <x:v>S10</x:v>
      </x:c>
      <x:c r="B14" s="26" t="str">
        <x:v>Sea Q2 2026 earnings date — Jul 28, 2026</x:v>
      </x:c>
      <x:c r="C14" s="26" t="str">
        <x:v>BusinessWire/Yahoo</x:v>
      </x:c>
      <x:c r="D14" s="26" t="str">
        <x:v>Q2 2026 results scheduled before U.S. market open on Aug 11, 2026</x:v>
      </x:c>
      <x:c r="E14" s="26" t="str">
        <x:v>https://finance.yahoo.com/markets/stocks/articles/sea-limited-report-second-quarter-080000331.html</x:v>
      </x:c>
      <x:c r="F14" s="26" t="str">
        <x:v>High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4" hidden="0" customWidth="1"/>
  </x:cols>
  <x:sheetData>
    <x:row r="1" ht="28" customHeight="1">
      <x:c r="A1" s="4" t="str">
        <x:v>Historical Financials &amp; Operating KPIs</x:v>
      </x:c>
      <x:c r="B1" s="4"/>
      <x:c r="C1" s="4"/>
      <x:c r="D1" s="4"/>
      <x:c r="E1" s="4"/>
      <x:c r="F1" s="4"/>
    </x:row>
    <x:row r="2" ht="28" customHeight="1">
      <x:c r="A2" s="10" t="str">
        <x:v>USD $bn except users/orders. 2023 segment values are rounded from FY2024 disclosures; Q1 2026 is a three-month period.</x:v>
      </x:c>
      <x:c r="B2" s="10"/>
      <x:c r="C2" s="10"/>
      <x:c r="D2" s="10"/>
      <x:c r="E2" s="10"/>
      <x:c r="F2" s="10"/>
    </x:row>
    <x:row r="4">
      <x:c r="A4" s="19" t="str">
        <x:v>Metric</x:v>
      </x:c>
      <x:c r="B4" s="19" t="str">
        <x:v>2023A</x:v>
      </x:c>
      <x:c r="C4" s="19" t="str">
        <x:v>2024A</x:v>
      </x:c>
      <x:c r="D4" s="19" t="str">
        <x:v>2025A</x:v>
      </x:c>
      <x:c r="E4" s="19" t="str">
        <x:v>Q1 2026A</x:v>
      </x:c>
      <x:c r="F4" s="19" t="str">
        <x:v>Source</x:v>
      </x:c>
    </x:row>
    <x:row r="5">
      <x:c r="A5" t="str">
        <x:v>Group revenue ($bn)</x:v>
      </x:c>
      <x:c r="B5" s="36" t="n">
        <x:v>13.04</x:v>
      </x:c>
      <x:c r="C5" s="36" t="n">
        <x:v>16.8</x:v>
      </x:c>
      <x:c r="D5" s="36" t="n">
        <x:v>22.9</x:v>
      </x:c>
      <x:c r="E5" s="36" t="n">
        <x:v>7.097</x:v>
      </x:c>
      <x:c r="F5" s="44" t="str">
        <x:v>S2/S4</x:v>
      </x:c>
    </x:row>
    <x:row r="6">
      <x:c r="A6" t="str">
        <x:v>Shopee revenue ($bn)</x:v>
      </x:c>
      <x:c r="B6" s="36" t="n">
        <x:v>9</x:v>
      </x:c>
      <x:c r="C6" s="36" t="n">
        <x:v>12.4</x:v>
      </x:c>
      <x:c r="D6" s="36" t="n">
        <x:v>16.6</x:v>
      </x:c>
      <x:c r="E6" s="36" t="n">
        <x:v>5.114</x:v>
      </x:c>
      <x:c r="F6" s="44" t="str">
        <x:v>S1/S2/S4</x:v>
      </x:c>
    </x:row>
    <x:row r="7">
      <x:c r="A7" t="str">
        <x:v>Monee revenue ($bn)</x:v>
      </x:c>
      <x:c r="B7" s="36" t="n">
        <x:v>1.78</x:v>
      </x:c>
      <x:c r="C7" s="36" t="n">
        <x:v>2.4</x:v>
      </x:c>
      <x:c r="D7" s="36" t="n">
        <x:v>3.8</x:v>
      </x:c>
      <x:c r="E7" s="36" t="n">
        <x:v>1.242</x:v>
      </x:c>
      <x:c r="F7" s="44" t="str">
        <x:v>S1/S2/S4</x:v>
      </x:c>
    </x:row>
    <x:row r="8">
      <x:c r="A8" t="str">
        <x:v>Garena revenue ($bn)</x:v>
      </x:c>
      <x:c r="B8" s="36" t="n">
        <x:v>2.2</x:v>
      </x:c>
      <x:c r="C8" s="36" t="n">
        <x:v>1.9</x:v>
      </x:c>
      <x:c r="D8" s="36" t="n">
        <x:v>2.4</x:v>
      </x:c>
      <x:c r="E8" s="36" t="n">
        <x:v>0.697</x:v>
      </x:c>
      <x:c r="F8" s="44" t="str">
        <x:v>S1/S2/S4</x:v>
      </x:c>
    </x:row>
    <x:row r="9">
      <x:c r="A9" t="str">
        <x:v>Group adjusted EBITDA ($bn)</x:v>
      </x:c>
      <x:c r="B9" s="36" t="n">
        <x:v>1.2</x:v>
      </x:c>
      <x:c r="C9" s="36" t="n">
        <x:v>2</x:v>
      </x:c>
      <x:c r="D9" s="36" t="n">
        <x:v>3.4</x:v>
      </x:c>
      <x:c r="E9" s="36" t="n">
        <x:v>1</x:v>
      </x:c>
      <x:c r="F9" s="44" t="str">
        <x:v>S1/S2/S4</x:v>
      </x:c>
    </x:row>
    <x:row r="10">
      <x:c r="A10" t="str">
        <x:v>Shopee adjusted EBITDA ($bn)</x:v>
      </x:c>
      <x:c r="B10" s="36" t="n">
        <x:v>-0.214</x:v>
      </x:c>
      <x:c r="C10" s="36" t="n">
        <x:v>0.156</x:v>
      </x:c>
      <x:c r="D10" s="36" t="n">
        <x:v>0.881</x:v>
      </x:c>
      <x:c r="E10" s="36" t="n">
        <x:v>0.223</x:v>
      </x:c>
      <x:c r="F10" s="44" t="str">
        <x:v>S1/S2/S4</x:v>
      </x:c>
    </x:row>
    <x:row r="11">
      <x:c r="A11" t="str">
        <x:v>Monee adjusted EBITDA ($bn)</x:v>
      </x:c>
      <x:c r="B11" s="36" t="n">
        <x:v>0.55</x:v>
      </x:c>
      <x:c r="C11" s="36" t="n">
        <x:v>0.712</x:v>
      </x:c>
      <x:c r="D11" s="36" t="n">
        <x:v>1</x:v>
      </x:c>
      <x:c r="E11" s="36" t="n">
        <x:v>0.275</x:v>
      </x:c>
      <x:c r="F11" s="44" t="str">
        <x:v>S1/S2/S4</x:v>
      </x:c>
    </x:row>
    <x:row r="12">
      <x:c r="A12" t="str">
        <x:v>Garena adjusted EBITDA ($bn)</x:v>
      </x:c>
      <x:c r="B12" s="36" t="n">
        <x:v>0.922</x:v>
      </x:c>
      <x:c r="C12" s="36" t="n">
        <x:v>1.2</x:v>
      </x:c>
      <x:c r="D12" s="36" t="n">
        <x:v>1.7</x:v>
      </x:c>
      <x:c r="E12" s="36" t="n">
        <x:v>0.574</x:v>
      </x:c>
      <x:c r="F12" s="44" t="str">
        <x:v>S1/S2/S4</x:v>
      </x:c>
    </x:row>
    <x:row r="13">
      <x:c r="A13" t="str">
        <x:v>Net income ($bn)</x:v>
      </x:c>
      <x:c r="B13" s="36" t="n">
        <x:v>0.163</x:v>
      </x:c>
      <x:c r="C13" s="36" t="n">
        <x:v>0.448</x:v>
      </x:c>
      <x:c r="D13" s="36" t="n">
        <x:v>1.6</x:v>
      </x:c>
      <x:c r="E13" s="36" t="n">
        <x:v>0.438</x:v>
      </x:c>
      <x:c r="F13" s="44" t="str">
        <x:v>S1/S2/S4</x:v>
      </x:c>
    </x:row>
    <x:row r="14">
      <x:c r="A14" t="str">
        <x:v>Gross profit ($bn)</x:v>
      </x:c>
      <x:c r="B14" s="36" t="n">
        <x:v>5.83</x:v>
      </x:c>
      <x:c r="C14" s="36" t="n">
        <x:v>7.21</x:v>
      </x:c>
      <x:c r="D14" s="36" t="n">
        <x:v>10.24</x:v>
      </x:c>
      <x:c r="E14" s="36" t="n">
        <x:v>3.1</x:v>
      </x:c>
      <x:c r="F14" s="44" t="str">
        <x:v>S1/S3/S4</x:v>
      </x:c>
    </x:row>
    <x:row r="15">
      <x:c r="A15" t="str">
        <x:v>Shopee GMV ($bn)</x:v>
      </x:c>
      <x:c r="B15" s="37" t="n">
        <x:v>78.5</x:v>
      </x:c>
      <x:c r="C15" s="37" t="n">
        <x:v>100.5</x:v>
      </x:c>
      <x:c r="D15" s="37" t="n">
        <x:v>127.4</x:v>
      </x:c>
      <x:c r="E15" s="37" t="n">
        <x:v>37.3</x:v>
      </x:c>
      <x:c r="F15" s="44" t="str">
        <x:v>S1/S2/S4</x:v>
      </x:c>
    </x:row>
    <x:row r="16">
      <x:c r="A16" t="str">
        <x:v>Shopee gross orders (bn)</x:v>
      </x:c>
      <x:c r="B16" s="36" t="n">
        <x:v>8.2</x:v>
      </x:c>
      <x:c r="C16" s="36" t="n">
        <x:v>10.9</x:v>
      </x:c>
      <x:c r="D16" s="36" t="n">
        <x:v>13.9</x:v>
      </x:c>
      <x:c r="E16" s="36" t="n">
        <x:v>4</x:v>
      </x:c>
      <x:c r="F16" s="44" t="str">
        <x:v>S1/S2/S4</x:v>
      </x:c>
    </x:row>
    <x:row r="17">
      <x:c r="A17" t="str">
        <x:v>Monee consumer/SME loans principal ($bn)</x:v>
      </x:c>
      <x:c r="B17" s="36" t="n">
        <x:v>3.11</x:v>
      </x:c>
      <x:c r="C17" s="36" t="n">
        <x:v>5.1</x:v>
      </x:c>
      <x:c r="D17" s="36" t="n">
        <x:v>9.2</x:v>
      </x:c>
      <x:c r="E17" s="36" t="n">
        <x:v>9.9</x:v>
      </x:c>
      <x:c r="F17" s="44" t="str">
        <x:v>S1/S2/S4</x:v>
      </x:c>
    </x:row>
    <x:row r="18">
      <x:c r="A18" t="str">
        <x:v>Monee NPL &gt;90d</x:v>
      </x:c>
      <x:c r="B18" s="38"/>
      <x:c r="C18" s="38" t="n">
        <x:v>0.012</x:v>
      </x:c>
      <x:c r="D18" s="38" t="n">
        <x:v>0.011</x:v>
      </x:c>
      <x:c r="E18" s="38" t="n">
        <x:v>0.011</x:v>
      </x:c>
      <x:c r="F18" s="44" t="str">
        <x:v>S1/S2/S4</x:v>
      </x:c>
    </x:row>
    <x:row r="19">
      <x:c r="A19" t="str">
        <x:v>Garena bookings ($bn)</x:v>
      </x:c>
      <x:c r="B19" s="38" t="n">
        <x:v>1.77</x:v>
      </x:c>
      <x:c r="C19" s="38" t="n">
        <x:v>2.1</x:v>
      </x:c>
      <x:c r="D19" s="38" t="n">
        <x:v>2.9</x:v>
      </x:c>
      <x:c r="E19" s="38" t="n">
        <x:v>0.931</x:v>
      </x:c>
      <x:c r="F19" s="44" t="str">
        <x:v>S1/S2/S4</x:v>
      </x:c>
    </x:row>
    <x:row r="20">
      <x:c r="A20" t="str">
        <x:v>Garena quarterly active users (mm)</x:v>
      </x:c>
      <x:c r="B20" s="36"/>
      <x:c r="C20" s="36" t="n">
        <x:v>618</x:v>
      </x:c>
      <x:c r="D20" s="36" t="n">
        <x:v>633.3</x:v>
      </x:c>
      <x:c r="E20" s="36" t="n">
        <x:v>666.5</x:v>
      </x:c>
      <x:c r="F20" s="44" t="str">
        <x:v>S1/S2/S4</x:v>
      </x:c>
    </x:row>
    <x:row r="21">
      <x:c r="A21" t="str">
        <x:v>Garena quarterly paying users (mm)</x:v>
      </x:c>
      <x:c r="B21" s="36"/>
      <x:c r="C21" s="36" t="n">
        <x:v>50.4</x:v>
      </x:c>
      <x:c r="D21" s="36" t="n">
        <x:v>58</x:v>
      </x:c>
      <x:c r="E21" s="36" t="n">
        <x:v>72.6</x:v>
      </x:c>
      <x:c r="F21" s="44" t="str">
        <x:v>S1/S2/S4</x:v>
      </x:c>
    </x:row>
    <x:row r="22">
      <x:c r="A22" t="str">
        <x:v>Cash &amp; equivalents ($bn)</x:v>
      </x:c>
      <x:c r="B22" s="36"/>
      <x:c r="C22" s="36"/>
      <x:c r="D22" s="36" t="n">
        <x:v>4.159</x:v>
      </x:c>
      <x:c r="E22" s="36" t="n">
        <x:v>4.035</x:v>
      </x:c>
      <x:c r="F22" s="44" t="str">
        <x:v>S1</x:v>
      </x:c>
    </x:row>
    <x:row r="23">
      <x:c r="A23" t="str">
        <x:v>Short-term investments ($bn)</x:v>
      </x:c>
      <x:c r="B23" s="36"/>
      <x:c r="C23" s="36"/>
      <x:c r="D23" s="36" t="n">
        <x:v>6.413</x:v>
      </x:c>
      <x:c r="E23" s="36" t="n">
        <x:v>6.505</x:v>
      </x:c>
      <x:c r="F23" s="44" t="str">
        <x:v>S1</x:v>
      </x:c>
    </x:row>
    <x:row r="24">
      <x:c r="A24" t="str">
        <x:v>Long-term investments ($bn)</x:v>
      </x:c>
      <x:c r="B24" s="36"/>
      <x:c r="C24" s="36"/>
      <x:c r="D24" s="36" t="n">
        <x:v>1.889</x:v>
      </x:c>
      <x:c r="E24" s="36" t="n">
        <x:v>2.173</x:v>
      </x:c>
      <x:c r="F24" s="44" t="str">
        <x:v>S1</x:v>
      </x:c>
    </x:row>
    <x:row r="25">
      <x:c r="A25" t="str">
        <x:v>Restricted cash ($bn)</x:v>
      </x:c>
      <x:c r="B25" s="36"/>
      <x:c r="C25" s="36"/>
      <x:c r="D25" s="36" t="n">
        <x:v>2.261</x:v>
      </x:c>
      <x:c r="E25" s="36" t="n">
        <x:v>2.264</x:v>
      </x:c>
      <x:c r="F25" s="44" t="str">
        <x:v>S1</x:v>
      </x:c>
    </x:row>
    <x:row r="26">
      <x:c r="A26" t="str">
        <x:v>Deposits payable ($bn)</x:v>
      </x:c>
      <x:c r="B26" s="36"/>
      <x:c r="C26" s="36"/>
      <x:c r="D26" s="36" t="n">
        <x:v>3.798</x:v>
      </x:c>
      <x:c r="E26" s="36" t="n">
        <x:v>4.063</x:v>
      </x:c>
      <x:c r="F26" s="44" t="str">
        <x:v>S1</x:v>
      </x:c>
    </x:row>
    <x:row r="27">
      <x:c r="A27" t="str">
        <x:v>Borrowings ($bn)</x:v>
      </x:c>
      <x:c r="B27" s="36"/>
      <x:c r="C27" s="36"/>
      <x:c r="D27" s="36" t="n">
        <x:v>0.794</x:v>
      </x:c>
      <x:c r="E27" s="36" t="n">
        <x:v>0.967</x:v>
      </x:c>
      <x:c r="F27" s="44" t="str">
        <x:v>S1</x:v>
      </x:c>
    </x:row>
    <x:row r="28">
      <x:c r="A28" t="str">
        <x:v>Convertible notes ($bn)</x:v>
      </x:c>
      <x:c r="B28" s="36"/>
      <x:c r="C28" s="36"/>
      <x:c r="D28" s="36" t="n">
        <x:v>1.05</x:v>
      </x:c>
      <x:c r="E28" s="36" t="n">
        <x:v>0.996</x:v>
      </x:c>
      <x:c r="F28" s="44" t="str">
        <x:v>S1</x:v>
      </x:c>
    </x:row>
    <x:row r="29">
      <x:c r="A29" t="str">
        <x:v>Diluted weighted-average shares (mm)</x:v>
      </x:c>
      <x:c r="B29" s="39"/>
      <x:c r="C29" s="39"/>
      <x:c r="D29" s="39"/>
      <x:c r="E29" s="39" t="n">
        <x:v>636.173</x:v>
      </x:c>
      <x:c r="F29" s="44" t="str">
        <x:v>S1</x:v>
      </x:c>
    </x:row>
    <x:row r="30">
      <x:c r="A30" t="str">
        <x:v>Current SE price ($/ADS)</x:v>
      </x:c>
      <x:c r="B30" s="36"/>
      <x:c r="C30" s="36"/>
      <x:c r="D30" s="36"/>
      <x:c r="E30" s="36" t="n">
        <x:v>113.91</x:v>
      </x:c>
      <x:c r="F30" s="44" t="str">
        <x:v>S5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55" hidden="0" customWidth="1"/>
  </x:cols>
  <x:sheetData>
    <x:row r="1" ht="28" customHeight="1">
      <x:c r="A1" s="4" t="str">
        <x:v>Capital Structure &amp; Net Liquid Asset Adjustment</x:v>
      </x:c>
      <x:c r="B1" s="4"/>
      <x:c r="C1" s="4"/>
      <x:c r="D1" s="4"/>
      <x:c r="E1" s="4"/>
    </x:row>
    <x:row r="2" ht="28" customHeight="1">
      <x:c r="A2" s="10" t="str">
        <x:v>For SOTP we add only a conservative net-liquid-assets adjustment: cash + short/long-term investments − deposits payable − borrowings − convertibles. Restricted cash is excluded.</x:v>
      </x:c>
      <x:c r="B2" s="10"/>
      <x:c r="C2" s="10"/>
      <x:c r="D2" s="10"/>
      <x:c r="E2" s="10"/>
    </x:row>
    <x:row r="4">
      <x:c r="A4" s="19" t="str">
        <x:v>Metric</x:v>
      </x:c>
      <x:c r="B4" s="19" t="str">
        <x:v>Value</x:v>
      </x:c>
      <x:c r="C4" s="19" t="str">
        <x:v>Treatment / source</x:v>
      </x:c>
    </x:row>
    <x:row r="5">
      <x:c r="A5" t="str">
        <x:v>Cash &amp; equivalents ($bn)</x:v>
      </x:c>
      <x:c r="B5" s="52" t="n">
        <x:f>Historical!E22</x:f>
        <x:v>4.035</x:v>
      </x:c>
      <x:c r="C5" t="str">
        <x:v>Historical / S1</x:v>
      </x:c>
    </x:row>
    <x:row r="6">
      <x:c r="A6" t="str">
        <x:v>Short-term investments ($bn)</x:v>
      </x:c>
      <x:c r="B6" s="52" t="n">
        <x:f>Historical!E23</x:f>
        <x:v>6.505</x:v>
      </x:c>
      <x:c r="C6" t="str">
        <x:v>Historical / S1</x:v>
      </x:c>
    </x:row>
    <x:row r="7">
      <x:c r="A7" t="str">
        <x:v>Long-term investments ($bn)</x:v>
      </x:c>
      <x:c r="B7" s="52" t="n">
        <x:f>Historical!E24</x:f>
        <x:v>2.173</x:v>
      </x:c>
      <x:c r="C7" t="str">
        <x:v>Historical / S1</x:v>
      </x:c>
    </x:row>
    <x:row r="8">
      <x:c r="A8" t="str">
        <x:v>Less: deposits payable ($bn)</x:v>
      </x:c>
      <x:c r="B8" s="52" t="n">
        <x:f>Historical!E26</x:f>
        <x:v>4.063</x:v>
      </x:c>
      <x:c r="C8" t="str">
        <x:v>Monee funding / S1</x:v>
      </x:c>
    </x:row>
    <x:row r="9">
      <x:c r="A9" t="str">
        <x:v>Less: borrowings ($bn)</x:v>
      </x:c>
      <x:c r="B9" s="52" t="n">
        <x:f>Historical!E27</x:f>
        <x:v>0.967</x:v>
      </x:c>
      <x:c r="C9" t="str">
        <x:v>S1</x:v>
      </x:c>
    </x:row>
    <x:row r="10">
      <x:c r="A10" t="str">
        <x:v>Less: convertible notes ($bn)</x:v>
      </x:c>
      <x:c r="B10" s="52" t="n">
        <x:f>Historical!E28</x:f>
        <x:v>0.996</x:v>
      </x:c>
      <x:c r="C10" t="str">
        <x:v>S1</x:v>
      </x:c>
    </x:row>
    <x:row r="11">
      <x:c r="A11" s="58" t="str">
        <x:v>Net liquid assets ($bn)</x:v>
      </x:c>
      <x:c r="B11" s="59" t="n">
        <x:f>SUM(B5:B7)-SUM(B8:B10)</x:f>
        <x:v>6.686999999999999</x:v>
      </x:c>
      <x:c r="C11" s="58" t="str">
        <x:v>Calculated; restricted cash excluded</x:v>
      </x:c>
    </x:row>
    <x:row r="12">
      <x:c r="A12" t="str">
        <x:v>Q1 diluted shares (mm)</x:v>
      </x:c>
      <x:c r="B12" s="54" t="n">
        <x:f>Historical!E29</x:f>
        <x:v>636.173</x:v>
      </x:c>
      <x:c r="C12" t="str">
        <x:v>S1</x:v>
      </x:c>
    </x:row>
    <x:row r="13">
      <x:c r="A13" t="str">
        <x:v>Base valuation shares (mm)</x:v>
      </x:c>
      <x:c r="B13" s="55" t="n">
        <x:v>640</x:v>
      </x:c>
      <x:c r="C13" t="str">
        <x:v>Analyst assumption</x:v>
      </x:c>
    </x:row>
    <x:row r="14">
      <x:c r="A14" t="str">
        <x:v>Bear valuation shares (mm)</x:v>
      </x:c>
      <x:c r="B14" s="55" t="n">
        <x:v>650</x:v>
      </x:c>
      <x:c r="C14" t="str">
        <x:v>Analyst assumption</x:v>
      </x:c>
    </x:row>
    <x:row r="15">
      <x:c r="A15" t="str">
        <x:v>Bull valuation shares (mm)</x:v>
      </x:c>
      <x:c r="B15" s="55" t="n">
        <x:v>630</x:v>
      </x:c>
      <x:c r="C15" t="str">
        <x:v>Analyst assumption / stronger buyback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</x:cols>
  <x:sheetData>
    <x:row r="1" ht="28" customHeight="1">
      <x:c r="A1" s="4" t="str">
        <x:v>2026–2035 Segment Forecast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8" customHeight="1">
      <x:c r="A2" s="10" t="str">
        <x:v>Scenario forecasts model Shopee, Monee and Garena separately. Hardcodes are blue; key assumptions are yellow. Other services are small and corporate overhead is deducted from segment EBITDA.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4">
      <x:c r="A4" s="19" t="str">
        <x:v>Metric</x:v>
      </x:c>
      <x:c r="B4" s="19" t="str">
        <x:v>2026E</x:v>
      </x:c>
      <x:c r="C4" s="19" t="str">
        <x:v>2027E</x:v>
      </x:c>
      <x:c r="D4" s="19" t="str">
        <x:v>2028E</x:v>
      </x:c>
      <x:c r="E4" s="19" t="str">
        <x:v>2029E</x:v>
      </x:c>
      <x:c r="F4" s="19" t="str">
        <x:v>2030E</x:v>
      </x:c>
      <x:c r="G4" s="19" t="str">
        <x:v>2031E</x:v>
      </x:c>
      <x:c r="H4" s="19" t="str">
        <x:v>2032E</x:v>
      </x:c>
      <x:c r="I4" s="19" t="str">
        <x:v>2033E</x:v>
      </x:c>
      <x:c r="J4" s="19" t="str">
        <x:v>2034E</x:v>
      </x:c>
      <x:c r="K4" s="19" t="str">
        <x:v>2035E</x:v>
      </x:c>
    </x:row>
    <x:row r="5">
      <x:c r="A5" s="63" t="str">
        <x:v>Bear Scenario</x:v>
      </x:c>
      <x:c r="B5" s="63" t="str">
        <x:v>Bear Scenario</x:v>
      </x:c>
      <x:c r="C5" s="63" t="str">
        <x:v>Bear Scenario</x:v>
      </x:c>
      <x:c r="D5" s="63" t="str">
        <x:v>Bear Scenario</x:v>
      </x:c>
      <x:c r="E5" s="63" t="str">
        <x:v>Bear Scenario</x:v>
      </x:c>
      <x:c r="F5" s="63" t="str">
        <x:v>Bear Scenario</x:v>
      </x:c>
      <x:c r="G5" s="63" t="str">
        <x:v>Bear Scenario</x:v>
      </x:c>
      <x:c r="H5" s="63" t="str">
        <x:v>Bear Scenario</x:v>
      </x:c>
      <x:c r="I5" s="63" t="str">
        <x:v>Bear Scenario</x:v>
      </x:c>
      <x:c r="J5" s="63" t="str">
        <x:v>Bear Scenario</x:v>
      </x:c>
      <x:c r="K5" s="63" t="str">
        <x:v>Bear Scenario</x:v>
      </x:c>
    </x:row>
    <x:row r="6">
      <x:c r="A6" t="str">
        <x:v>Shopee revenue ($bn)</x:v>
      </x:c>
      <x:c r="B6" s="36" t="n">
        <x:v>20.7</x:v>
      </x:c>
      <x:c r="C6" s="68" t="n">
        <x:f>B6*(1+0.2)</x:f>
        <x:v>24.84</x:v>
      </x:c>
      <x:c r="D6" s="68" t="n">
        <x:f>C6*(1+0.16)</x:f>
        <x:v>28.8144</x:v>
      </x:c>
      <x:c r="E6" s="68" t="n">
        <x:f>D6*(1+0.13)</x:f>
        <x:v>32.560272</x:v>
      </x:c>
      <x:c r="F6" s="68" t="n">
        <x:f>E6*(1+0.1)</x:f>
        <x:v>35.8162992</x:v>
      </x:c>
      <x:c r="G6" s="68" t="n">
        <x:f>F6*(1+0.08)</x:f>
        <x:v>38.68160313600001</x:v>
      </x:c>
      <x:c r="H6" s="68" t="n">
        <x:f>G6*(1+0.07)</x:f>
        <x:v>41.38931535552001</x:v>
      </x:c>
      <x:c r="I6" s="68" t="n">
        <x:f>H6*(1+0.06)</x:f>
        <x:v>43.872674276851214</x:v>
      </x:c>
      <x:c r="J6" s="68" t="n">
        <x:f>I6*(1+0.05)</x:f>
        <x:v>46.06630799069378</x:v>
      </x:c>
      <x:c r="K6" s="68" t="n">
        <x:f>J6*(1+0.05)</x:f>
        <x:v>48.36962339022847</x:v>
      </x:c>
    </x:row>
    <x:row r="7">
      <x:c r="A7" t="str">
        <x:v>Shopee revenue growth</x:v>
      </x:c>
      <x:c r="B7" s="30"/>
      <x:c r="C7" s="70" t="n">
        <x:f>C6/B6-1</x:f>
        <x:v>0.19999999999999996</x:v>
      </x:c>
      <x:c r="D7" s="70" t="n">
        <x:f>D6/C6-1</x:f>
        <x:v>0.15999999999999992</x:v>
      </x:c>
      <x:c r="E7" s="70" t="n">
        <x:f>E6/D6-1</x:f>
        <x:v>0.1299999999999999</x:v>
      </x:c>
      <x:c r="F7" s="70" t="n">
        <x:f>F6/E6-1</x:f>
        <x:v>0.10000000000000009</x:v>
      </x:c>
      <x:c r="G7" s="70" t="n">
        <x:f>G6/F6-1</x:f>
        <x:v>0.08000000000000007</x:v>
      </x:c>
      <x:c r="H7" s="70" t="n">
        <x:f>H6/G6-1</x:f>
        <x:v>0.07000000000000006</x:v>
      </x:c>
      <x:c r="I7" s="70" t="n">
        <x:f>I6/H6-1</x:f>
        <x:v>0.06000000000000005</x:v>
      </x:c>
      <x:c r="J7" s="70" t="n">
        <x:f>J6/I6-1</x:f>
        <x:v>0.050000000000000044</x:v>
      </x:c>
      <x:c r="K7" s="70" t="n">
        <x:f>K6/J6-1</x:f>
        <x:v>0.050000000000000044</x:v>
      </x:c>
    </x:row>
    <x:row r="8">
      <x:c r="A8" t="str">
        <x:v>Shopee adj. EBITDA margin</x:v>
      </x:c>
      <x:c r="B8" s="37" t="n">
        <x:v>0.035</x:v>
      </x:c>
      <x:c r="C8" s="37" t="n">
        <x:v>0.045</x:v>
      </x:c>
      <x:c r="D8" s="37" t="n">
        <x:v>0.055</x:v>
      </x:c>
      <x:c r="E8" s="37" t="n">
        <x:v>0.065</x:v>
      </x:c>
      <x:c r="F8" s="37" t="n">
        <x:v>0.075</x:v>
      </x:c>
      <x:c r="G8" s="37" t="n">
        <x:v>0.085</x:v>
      </x:c>
      <x:c r="H8" s="37" t="n">
        <x:v>0.09</x:v>
      </x:c>
      <x:c r="I8" s="37" t="n">
        <x:v>0.095</x:v>
      </x:c>
      <x:c r="J8" s="37" t="n">
        <x:v>0.1</x:v>
      </x:c>
      <x:c r="K8" s="37" t="n">
        <x:v>0.105</x:v>
      </x:c>
    </x:row>
    <x:row r="9">
      <x:c r="A9" t="str">
        <x:v>Shopee adj. EBITDA ($bn)</x:v>
      </x:c>
      <x:c r="B9" s="28" t="n">
        <x:f>B6*B8</x:f>
        <x:v>0.7245</x:v>
      </x:c>
      <x:c r="C9" s="68" t="n">
        <x:f>C6*C8</x:f>
        <x:v>1.1178</x:v>
      </x:c>
      <x:c r="D9" s="68" t="n">
        <x:f>D6*D8</x:f>
        <x:v>1.584792</x:v>
      </x:c>
      <x:c r="E9" s="68" t="n">
        <x:f>E6*E8</x:f>
        <x:v>2.11641768</x:v>
      </x:c>
      <x:c r="F9" s="68" t="n">
        <x:f>F6*F8</x:f>
        <x:v>2.6862224400000003</x:v>
      </x:c>
      <x:c r="G9" s="68" t="n">
        <x:f>G6*G8</x:f>
        <x:v>3.287936266560001</x:v>
      </x:c>
      <x:c r="H9" s="68" t="n">
        <x:f>H6*H8</x:f>
        <x:v>3.725038381996801</x:v>
      </x:c>
      <x:c r="I9" s="68" t="n">
        <x:f>I6*I8</x:f>
        <x:v>4.167904056300865</x:v>
      </x:c>
      <x:c r="J9" s="68" t="n">
        <x:f>J6*J8</x:f>
        <x:v>4.606630799069378</x:v>
      </x:c>
      <x:c r="K9" s="68" t="n">
        <x:f>K6*K8</x:f>
        <x:v>5.078810455973989</x:v>
      </x:c>
    </x:row>
    <x:row r="10">
      <x:c r="A10" t="str">
        <x:v>Monee revenue ($bn)</x:v>
      </x:c>
      <x:c r="B10" s="36" t="n">
        <x:v>5</x:v>
      </x:c>
      <x:c r="C10" s="68" t="n">
        <x:f>B10*(1+0.32)</x:f>
        <x:v>6.6000000000000005</x:v>
      </x:c>
      <x:c r="D10" s="68" t="n">
        <x:f>C10*(1+0.25)</x:f>
        <x:v>8.25</x:v>
      </x:c>
      <x:c r="E10" s="68" t="n">
        <x:f>D10*(1+0.2)</x:f>
        <x:v>9.9</x:v>
      </x:c>
      <x:c r="F10" s="68" t="n">
        <x:f>E10*(1+0.16)</x:f>
        <x:v>11.484</x:v>
      </x:c>
      <x:c r="G10" s="68" t="n">
        <x:f>F10*(1+0.13)</x:f>
        <x:v>12.976919999999998</x:v>
      </x:c>
      <x:c r="H10" s="68" t="n">
        <x:f>G10*(1+0.11)</x:f>
        <x:v>14.4043812</x:v>
      </x:c>
      <x:c r="I10" s="68" t="n">
        <x:f>H10*(1+0.1)</x:f>
        <x:v>15.844819320000001</x:v>
      </x:c>
      <x:c r="J10" s="68" t="n">
        <x:f>I10*(1+0.09)</x:f>
        <x:v>17.270853058800004</x:v>
      </x:c>
      <x:c r="K10" s="68" t="n">
        <x:f>J10*(1+0.08)</x:f>
        <x:v>18.652521303504006</x:v>
      </x:c>
    </x:row>
    <x:row r="11">
      <x:c r="A11" t="str">
        <x:v>Monee revenue growth</x:v>
      </x:c>
      <x:c r="B11" s="30"/>
      <x:c r="C11" s="70" t="n">
        <x:f>C10/B10-1</x:f>
        <x:v>0.32000000000000006</x:v>
      </x:c>
      <x:c r="D11" s="70" t="n">
        <x:f>D10/C10-1</x:f>
        <x:v>0.25</x:v>
      </x:c>
      <x:c r="E11" s="70" t="n">
        <x:f>E10/D10-1</x:f>
        <x:v>0.19999999999999996</x:v>
      </x:c>
      <x:c r="F11" s="70" t="n">
        <x:f>F10/E10-1</x:f>
        <x:v>0.15999999999999992</x:v>
      </x:c>
      <x:c r="G11" s="70" t="n">
        <x:f>G10/F10-1</x:f>
        <x:v>0.1299999999999999</x:v>
      </x:c>
      <x:c r="H11" s="70" t="n">
        <x:f>H10/G10-1</x:f>
        <x:v>0.1100000000000001</x:v>
      </x:c>
      <x:c r="I11" s="70" t="n">
        <x:f>I10/H10-1</x:f>
        <x:v>0.10000000000000009</x:v>
      </x:c>
      <x:c r="J11" s="70" t="n">
        <x:f>J10/I10-1</x:f>
        <x:v>0.09000000000000008</x:v>
      </x:c>
      <x:c r="K11" s="70" t="n">
        <x:f>K10/J10-1</x:f>
        <x:v>0.08000000000000007</x:v>
      </x:c>
    </x:row>
    <x:row r="12">
      <x:c r="A12" t="str">
        <x:v>Monee adj. EBITDA margin</x:v>
      </x:c>
      <x:c r="B12" s="37" t="n">
        <x:v>0.18</x:v>
      </x:c>
      <x:c r="C12" s="37" t="n">
        <x:v>0.21</x:v>
      </x:c>
      <x:c r="D12" s="37" t="n">
        <x:v>0.23</x:v>
      </x:c>
      <x:c r="E12" s="37" t="n">
        <x:v>0.25</x:v>
      </x:c>
      <x:c r="F12" s="37" t="n">
        <x:v>0.27</x:v>
      </x:c>
      <x:c r="G12" s="37" t="n">
        <x:v>0.29</x:v>
      </x:c>
      <x:c r="H12" s="37" t="n">
        <x:v>0.3</x:v>
      </x:c>
      <x:c r="I12" s="37" t="n">
        <x:v>0.31</x:v>
      </x:c>
      <x:c r="J12" s="37" t="n">
        <x:v>0.32</x:v>
      </x:c>
      <x:c r="K12" s="37" t="n">
        <x:v>0.33</x:v>
      </x:c>
    </x:row>
    <x:row r="13">
      <x:c r="A13" t="str">
        <x:v>Monee adj. EBITDA ($bn)</x:v>
      </x:c>
      <x:c r="B13" s="28" t="n">
        <x:f>B10*B12</x:f>
        <x:v>0.8999999999999999</x:v>
      </x:c>
      <x:c r="C13" s="68" t="n">
        <x:f>C10*C12</x:f>
        <x:v>1.3860000000000001</x:v>
      </x:c>
      <x:c r="D13" s="68" t="n">
        <x:f>D10*D12</x:f>
        <x:v>1.8975000000000002</x:v>
      </x:c>
      <x:c r="E13" s="68" t="n">
        <x:f>E10*E12</x:f>
        <x:v>2.475</x:v>
      </x:c>
      <x:c r="F13" s="68" t="n">
        <x:f>F10*F12</x:f>
        <x:v>3.10068</x:v>
      </x:c>
      <x:c r="G13" s="68" t="n">
        <x:f>G10*G12</x:f>
        <x:v>3.763306799999999</x:v>
      </x:c>
      <x:c r="H13" s="68" t="n">
        <x:f>H10*H12</x:f>
        <x:v>4.32131436</x:v>
      </x:c>
      <x:c r="I13" s="68" t="n">
        <x:f>I10*I12</x:f>
        <x:v>4.9118939892</x:v>
      </x:c>
      <x:c r="J13" s="68" t="n">
        <x:f>J10*J12</x:f>
        <x:v>5.526672978816001</x:v>
      </x:c>
      <x:c r="K13" s="68" t="n">
        <x:f>K10*K12</x:f>
        <x:v>6.155332030156322</x:v>
      </x:c>
    </x:row>
    <x:row r="14">
      <x:c r="A14" t="str">
        <x:v>Garena revenue ($bn)</x:v>
      </x:c>
      <x:c r="B14" s="36" t="n">
        <x:v>2.65</x:v>
      </x:c>
      <x:c r="C14" s="68" t="n">
        <x:f>B14*(1+0.05)</x:f>
        <x:v>2.7825</x:v>
      </x:c>
      <x:c r="D14" s="68" t="n">
        <x:f>C14*(1+0.03)</x:f>
        <x:v>2.865975</x:v>
      </x:c>
      <x:c r="E14" s="68" t="n">
        <x:f>D14*(1+0.02)</x:f>
        <x:v>2.9232945000000004</x:v>
      </x:c>
      <x:c r="F14" s="68" t="n">
        <x:f>E14*(1+0.02)</x:f>
        <x:v>2.9817603900000003</x:v>
      </x:c>
      <x:c r="G14" s="68" t="n">
        <x:f>F14*(1+0.02)</x:f>
        <x:v>3.0413955978000002</x:v>
      </x:c>
      <x:c r="H14" s="68" t="n">
        <x:f>G14*(1+0.02)</x:f>
        <x:v>3.1022235097560005</x:v>
      </x:c>
      <x:c r="I14" s="68" t="n">
        <x:f>H14*(1+0.02)</x:f>
        <x:v>3.1642679799511204</x:v>
      </x:c>
      <x:c r="J14" s="68" t="n">
        <x:f>I14*(1+0.02)</x:f>
        <x:v>3.227553339550143</x:v>
      </x:c>
      <x:c r="K14" s="68" t="n">
        <x:f>J14*(1+0.02)</x:f>
        <x:v>3.2921044063411458</x:v>
      </x:c>
    </x:row>
    <x:row r="15">
      <x:c r="A15" t="str">
        <x:v>Garena revenue growth</x:v>
      </x:c>
      <x:c r="B15" s="30"/>
      <x:c r="C15" s="70" t="n">
        <x:f>C14/B14-1</x:f>
        <x:v>0.050000000000000044</x:v>
      </x:c>
      <x:c r="D15" s="70" t="n">
        <x:f>D14/C14-1</x:f>
        <x:v>0.030000000000000027</x:v>
      </x:c>
      <x:c r="E15" s="70" t="n">
        <x:f>E14/D14-1</x:f>
        <x:v>0.020000000000000018</x:v>
      </x:c>
      <x:c r="F15" s="70" t="n">
        <x:f>F14/E14-1</x:f>
        <x:v>0.020000000000000018</x:v>
      </x:c>
      <x:c r="G15" s="70" t="n">
        <x:f>G14/F14-1</x:f>
        <x:v>0.020000000000000018</x:v>
      </x:c>
      <x:c r="H15" s="70" t="n">
        <x:f>H14/G14-1</x:f>
        <x:v>0.020000000000000018</x:v>
      </x:c>
      <x:c r="I15" s="70" t="n">
        <x:f>I14/H14-1</x:f>
        <x:v>0.020000000000000018</x:v>
      </x:c>
      <x:c r="J15" s="70" t="n">
        <x:f>J14/I14-1</x:f>
        <x:v>0.020000000000000018</x:v>
      </x:c>
      <x:c r="K15" s="70" t="n">
        <x:f>K14/J14-1</x:f>
        <x:v>0.020000000000000018</x:v>
      </x:c>
    </x:row>
    <x:row r="16">
      <x:c r="A16" t="str">
        <x:v>Garena adj. EBITDA margin</x:v>
      </x:c>
      <x:c r="B16" s="37" t="n">
        <x:v>0.62</x:v>
      </x:c>
      <x:c r="C16" s="37" t="n">
        <x:v>0.63</x:v>
      </x:c>
      <x:c r="D16" s="37" t="n">
        <x:v>0.63</x:v>
      </x:c>
      <x:c r="E16" s="37" t="n">
        <x:v>0.62</x:v>
      </x:c>
      <x:c r="F16" s="37" t="n">
        <x:v>0.61</x:v>
      </x:c>
      <x:c r="G16" s="37" t="n">
        <x:v>0.6</x:v>
      </x:c>
      <x:c r="H16" s="37" t="n">
        <x:v>0.59</x:v>
      </x:c>
      <x:c r="I16" s="37" t="n">
        <x:v>0.58</x:v>
      </x:c>
      <x:c r="J16" s="37" t="n">
        <x:v>0.57</x:v>
      </x:c>
      <x:c r="K16" s="37" t="n">
        <x:v>0.56</x:v>
      </x:c>
    </x:row>
    <x:row r="17">
      <x:c r="A17" t="str">
        <x:v>Garena adj. EBITDA ($bn)</x:v>
      </x:c>
      <x:c r="B17" s="28" t="n">
        <x:f>B14*B16</x:f>
        <x:v>1.643</x:v>
      </x:c>
      <x:c r="C17" s="68" t="n">
        <x:f>C14*C16</x:f>
        <x:v>1.7529750000000002</x:v>
      </x:c>
      <x:c r="D17" s="68" t="n">
        <x:f>D14*D16</x:f>
        <x:v>1.8055642500000002</x:v>
      </x:c>
      <x:c r="E17" s="68" t="n">
        <x:f>E14*E16</x:f>
        <x:v>1.8124425900000003</x:v>
      </x:c>
      <x:c r="F17" s="68" t="n">
        <x:f>F14*F16</x:f>
        <x:v>1.8188738379</x:v>
      </x:c>
      <x:c r="G17" s="68" t="n">
        <x:f>G14*G16</x:f>
        <x:v>1.82483735868</x:v>
      </x:c>
      <x:c r="H17" s="68" t="n">
        <x:f>H14*H16</x:f>
        <x:v>1.8303118707560402</x:v>
      </x:c>
      <x:c r="I17" s="68" t="n">
        <x:f>I14*I16</x:f>
        <x:v>1.8352754283716497</x:v>
      </x:c>
      <x:c r="J17" s="68" t="n">
        <x:f>J14*J16</x:f>
        <x:v>1.8397054035435814</x:v>
      </x:c>
      <x:c r="K17" s="68" t="n">
        <x:f>K14*K16</x:f>
        <x:v>1.8435784675510418</x:v>
      </x:c>
    </x:row>
    <x:row r="18">
      <x:c r="A18" t="str">
        <x:v>Other revenue ($bn)</x:v>
      </x:c>
      <x:c r="B18" s="36" t="n">
        <x:v>0.2</x:v>
      </x:c>
      <x:c r="C18" s="36" t="n">
        <x:v>0.21600000000000003</x:v>
      </x:c>
      <x:c r="D18" s="36" t="n">
        <x:v>0.23328000000000004</x:v>
      </x:c>
      <x:c r="E18" s="36" t="n">
        <x:v>0.25194240000000007</x:v>
      </x:c>
      <x:c r="F18" s="36" t="n">
        <x:v>0.27209779200000006</x:v>
      </x:c>
      <x:c r="G18" s="36" t="n">
        <x:v>0.2938656153600001</x:v>
      </x:c>
      <x:c r="H18" s="36" t="n">
        <x:v>0.31737486458880015</x:v>
      </x:c>
      <x:c r="I18" s="36" t="n">
        <x:v>0.3427648537559042</x:v>
      </x:c>
      <x:c r="J18" s="36" t="n">
        <x:v>0.3701860420563765</x:v>
      </x:c>
      <x:c r="K18" s="36" t="n">
        <x:v>0.3998009254208867</x:v>
      </x:c>
    </x:row>
    <x:row r="19">
      <x:c r="A19" t="str">
        <x:v>Corporate / other EBITDA drag ($bn)</x:v>
      </x:c>
      <x:c r="B19" s="36" t="n">
        <x:v>0.24</x:v>
      </x:c>
      <x:c r="C19" s="36" t="n">
        <x:v>0.28</x:v>
      </x:c>
      <x:c r="D19" s="36" t="n">
        <x:v>0.32</x:v>
      </x:c>
      <x:c r="E19" s="36" t="n">
        <x:v>0.36</x:v>
      </x:c>
      <x:c r="F19" s="36" t="n">
        <x:v>0.4</x:v>
      </x:c>
      <x:c r="G19" s="36" t="n">
        <x:v>0.44</x:v>
      </x:c>
      <x:c r="H19" s="36" t="n">
        <x:v>0.48</x:v>
      </x:c>
      <x:c r="I19" s="36" t="n">
        <x:v>0.52</x:v>
      </x:c>
      <x:c r="J19" s="36" t="n">
        <x:v>0.56</x:v>
      </x:c>
      <x:c r="K19" s="36" t="n">
        <x:v>0.6</x:v>
      </x:c>
    </x:row>
    <x:row r="20">
      <x:c r="A20" t="str">
        <x:v>Group revenue ($bn)</x:v>
      </x:c>
      <x:c r="B20" s="28" t="n">
        <x:f>B6+B10+B14+B18</x:f>
        <x:v>28.549999999999997</x:v>
      </x:c>
      <x:c r="C20" s="68" t="n">
        <x:f>C6+C10+C14+C18</x:f>
        <x:v>34.438500000000005</x:v>
      </x:c>
      <x:c r="D20" s="68" t="n">
        <x:f>D6+D10+D14+D18</x:f>
        <x:v>40.163655</x:v>
      </x:c>
      <x:c r="E20" s="68" t="n">
        <x:f>E6+E10+E14+E18</x:f>
        <x:v>45.63550889999999</x:v>
      </x:c>
      <x:c r="F20" s="68" t="n">
        <x:f>F6+F10+F14+F18</x:f>
        <x:v>50.554157382</x:v>
      </x:c>
      <x:c r="G20" s="68" t="n">
        <x:f>G6+G10+G14+G18</x:f>
        <x:v>54.99378434916</x:v>
      </x:c>
      <x:c r="H20" s="68" t="n">
        <x:f>H6+H10+H14+H18</x:f>
        <x:v>59.213294929864816</x:v>
      </x:c>
      <x:c r="I20" s="68" t="n">
        <x:f>I6+I10+I14+I18</x:f>
        <x:v>63.224526430558235</x:v>
      </x:c>
      <x:c r="J20" s="68" t="n">
        <x:f>J6+J10+J14+J18</x:f>
        <x:v>66.9349004311003</x:v>
      </x:c>
      <x:c r="K20" s="68" t="n">
        <x:f>K6+K10+K14+K18</x:f>
        <x:v>70.71405002549452</x:v>
      </x:c>
    </x:row>
    <x:row r="21">
      <x:c r="A21" t="str">
        <x:v>Group adjusted EBITDA ($bn)</x:v>
      </x:c>
      <x:c r="B21" s="28" t="n">
        <x:f>B9+B13+B17-B19</x:f>
        <x:v>3.0275</x:v>
      </x:c>
      <x:c r="C21" s="68" t="n">
        <x:f>C9+C13+C17-C19</x:f>
        <x:v>3.976775</x:v>
      </x:c>
      <x:c r="D21" s="68" t="n">
        <x:f>D9+D13+D17-D19</x:f>
        <x:v>4.9678562500000005</x:v>
      </x:c>
      <x:c r="E21" s="68" t="n">
        <x:f>E9+E13+E17-E19</x:f>
        <x:v>6.043860270000001</x:v>
      </x:c>
      <x:c r="F21" s="68" t="n">
        <x:f>F9+F13+F17-F19</x:f>
        <x:v>7.2057762779</x:v>
      </x:c>
      <x:c r="G21" s="68" t="n">
        <x:f>G9+G13+G17-G19</x:f>
        <x:v>8.43608042524</x:v>
      </x:c>
      <x:c r="H21" s="68" t="n">
        <x:f>H9+H13+H17-H19</x:f>
        <x:v>9.39666461275284</x:v>
      </x:c>
      <x:c r="I21" s="68" t="n">
        <x:f>I9+I13+I17-I19</x:f>
        <x:v>10.395073473872516</x:v>
      </x:c>
      <x:c r="J21" s="68" t="n">
        <x:f>J9+J13+J17-J19</x:f>
        <x:v>11.41300918142896</x:v>
      </x:c>
      <x:c r="K21" s="68" t="n">
        <x:f>K9+K13+K17-K19</x:f>
        <x:v>12.477720953681354</x:v>
      </x:c>
    </x:row>
    <x:row r="22">
      <x:c r="A22" t="str">
        <x:v>Group EBITDA margin</x:v>
      </x:c>
      <x:c r="B22" s="30" t="n">
        <x:f>B21/B20</x:f>
        <x:v>0.10604203152364274</x:v>
      </x:c>
      <x:c r="C22" s="70" t="n">
        <x:f>C21/C20</x:f>
        <x:v>0.11547468676045702</x:v>
      </x:c>
      <x:c r="D22" s="70" t="n">
        <x:f>D21/D20</x:f>
        <x:v>0.1236903426742412</x:v>
      </x:c>
      <x:c r="E22" s="70" t="n">
        <x:f>E21/E20</x:f>
        <x:v>0.13243766566170584</x:v>
      </x:c>
      <x:c r="F22" s="70" t="n">
        <x:f>F21/F20</x:f>
        <x:v>0.1425357804591882</x:v>
      </x:c>
      <x:c r="G22" s="70" t="n">
        <x:f>G21/G20</x:f>
        <x:v>0.15340061654383777</x:v>
      </x:c>
      <x:c r="H22" s="70" t="n">
        <x:f>H21/H20</x:f>
        <x:v>0.15869180433013766</x:v>
      </x:c>
      <x:c r="I22" s="70" t="n">
        <x:f>I21/I20</x:f>
        <x:v>0.16441520499627305</x:v>
      </x:c>
      <x:c r="J22" s="70" t="n">
        <x:f>J21/J20</x:f>
        <x:v>0.17050909328201638</x:v>
      </x:c>
      <x:c r="K22" s="70" t="n">
        <x:f>K21/K20</x:f>
        <x:v>0.1764532076607515</x:v>
      </x:c>
    </x:row>
    <x:row r="23">
      <x:c r="A23" t="str">
        <x:v>D&amp;A / revenue</x:v>
      </x:c>
      <x:c r="B23" s="37" t="n">
        <x:v>0.04</x:v>
      </x:c>
      <x:c r="C23" s="37" t="n">
        <x:v>0.04</x:v>
      </x:c>
      <x:c r="D23" s="37" t="n">
        <x:v>0.04</x:v>
      </x:c>
      <x:c r="E23" s="37" t="n">
        <x:v>0.04</x:v>
      </x:c>
      <x:c r="F23" s="37" t="n">
        <x:v>0.04</x:v>
      </x:c>
      <x:c r="G23" s="37" t="n">
        <x:v>0.04</x:v>
      </x:c>
      <x:c r="H23" s="37" t="n">
        <x:v>0.04</x:v>
      </x:c>
      <x:c r="I23" s="37" t="n">
        <x:v>0.04</x:v>
      </x:c>
      <x:c r="J23" s="37" t="n">
        <x:v>0.04</x:v>
      </x:c>
      <x:c r="K23" s="37" t="n">
        <x:v>0.04</x:v>
      </x:c>
    </x:row>
    <x:row r="24">
      <x:c r="A24" t="str">
        <x:v>D&amp;A ($bn)</x:v>
      </x:c>
      <x:c r="B24" s="28" t="n">
        <x:f>B20*B23</x:f>
        <x:v>1.142</x:v>
      </x:c>
      <x:c r="C24" s="68" t="n">
        <x:f>C20*C23</x:f>
        <x:v>1.3775400000000002</x:v>
      </x:c>
      <x:c r="D24" s="68" t="n">
        <x:f>D20*D23</x:f>
        <x:v>1.6065462</x:v>
      </x:c>
      <x:c r="E24" s="68" t="n">
        <x:f>E20*E23</x:f>
        <x:v>1.8254203559999997</x:v>
      </x:c>
      <x:c r="F24" s="68" t="n">
        <x:f>F20*F23</x:f>
        <x:v>2.02216629528</x:v>
      </x:c>
      <x:c r="G24" s="68" t="n">
        <x:f>G20*G23</x:f>
        <x:v>2.1997513739664</x:v>
      </x:c>
      <x:c r="H24" s="68" t="n">
        <x:f>H20*H23</x:f>
        <x:v>2.3685317971945925</x:v>
      </x:c>
      <x:c r="I24" s="68" t="n">
        <x:f>I20*I23</x:f>
        <x:v>2.5289810572223295</x:v>
      </x:c>
      <x:c r="J24" s="68" t="n">
        <x:f>J20*J23</x:f>
        <x:v>2.6773960172440123</x:v>
      </x:c>
      <x:c r="K24" s="68" t="n">
        <x:f>K20*K23</x:f>
        <x:v>2.8285620010197805</x:v>
      </x:c>
    </x:row>
    <x:row r="25">
      <x:c r="A25" t="str">
        <x:v>EBIT ($bn)</x:v>
      </x:c>
      <x:c r="B25" s="28" t="n">
        <x:f>B21-B24</x:f>
        <x:v>1.8855</x:v>
      </x:c>
      <x:c r="C25" s="68" t="n">
        <x:f>C21-C24</x:f>
        <x:v>2.5992349999999997</x:v>
      </x:c>
      <x:c r="D25" s="68" t="n">
        <x:f>D21-D24</x:f>
        <x:v>3.3613100500000006</x:v>
      </x:c>
      <x:c r="E25" s="68" t="n">
        <x:f>E21-E24</x:f>
        <x:v>4.218439914000001</x:v>
      </x:c>
      <x:c r="F25" s="68" t="n">
        <x:f>F21-F24</x:f>
        <x:v>5.18360998262</x:v>
      </x:c>
      <x:c r="G25" s="68" t="n">
        <x:f>G21-G24</x:f>
        <x:v>6.2363290512736</x:v>
      </x:c>
      <x:c r="H25" s="68" t="n">
        <x:f>H21-H24</x:f>
        <x:v>7.028132815558248</x:v>
      </x:c>
      <x:c r="I25" s="68" t="n">
        <x:f>I21-I24</x:f>
        <x:v>7.866092416650186</x:v>
      </x:c>
      <x:c r="J25" s="68" t="n">
        <x:f>J21-J24</x:f>
        <x:v>8.735613164184947</x:v>
      </x:c>
      <x:c r="K25" s="68" t="n">
        <x:f>K21-K24</x:f>
        <x:v>9.649158952661573</x:v>
      </x:c>
    </x:row>
    <x:row r="26">
      <x:c r="A26" t="str">
        <x:v>Cash tax rate</x:v>
      </x:c>
      <x:c r="B26" s="37" t="n">
        <x:v>0.21</x:v>
      </x:c>
      <x:c r="C26" s="37" t="n">
        <x:v>0.21</x:v>
      </x:c>
      <x:c r="D26" s="37" t="n">
        <x:v>0.21</x:v>
      </x:c>
      <x:c r="E26" s="37" t="n">
        <x:v>0.21</x:v>
      </x:c>
      <x:c r="F26" s="37" t="n">
        <x:v>0.21</x:v>
      </x:c>
      <x:c r="G26" s="37" t="n">
        <x:v>0.21</x:v>
      </x:c>
      <x:c r="H26" s="37" t="n">
        <x:v>0.21</x:v>
      </x:c>
      <x:c r="I26" s="37" t="n">
        <x:v>0.21</x:v>
      </x:c>
      <x:c r="J26" s="37" t="n">
        <x:v>0.21</x:v>
      </x:c>
      <x:c r="K26" s="37" t="n">
        <x:v>0.21</x:v>
      </x:c>
    </x:row>
    <x:row r="27">
      <x:c r="A27" t="str">
        <x:v>Cash taxes ($bn)</x:v>
      </x:c>
      <x:c r="B27" s="28" t="n">
        <x:f>IF(B25&gt;0,B25*B26,0)</x:f>
        <x:v>0.395955</x:v>
      </x:c>
      <x:c r="C27" s="68" t="n">
        <x:f>IF(C25&gt;0,C25*C26,0)</x:f>
        <x:v>0.54583935</x:v>
      </x:c>
      <x:c r="D27" s="68" t="n">
        <x:f>IF(D25&gt;0,D25*D26,0)</x:f>
        <x:v>0.7058751105000001</x:v>
      </x:c>
      <x:c r="E27" s="68" t="n">
        <x:f>IF(E25&gt;0,E25*E26,0)</x:f>
        <x:v>0.8858723819400002</x:v>
      </x:c>
      <x:c r="F27" s="68" t="n">
        <x:f>IF(F25&gt;0,F25*F26,0)</x:f>
        <x:v>1.0885580963502</x:v>
      </x:c>
      <x:c r="G27" s="68" t="n">
        <x:f>IF(G25&gt;0,G25*G26,0)</x:f>
        <x:v>1.3096291007674559</x:v>
      </x:c>
      <x:c r="H27" s="68" t="n">
        <x:f>IF(H25&gt;0,H25*H26,0)</x:f>
        <x:v>1.475907891267232</x:v>
      </x:c>
      <x:c r="I27" s="68" t="n">
        <x:f>IF(I25&gt;0,I25*I26,0)</x:f>
        <x:v>1.651879407496539</x:v>
      </x:c>
      <x:c r="J27" s="68" t="n">
        <x:f>IF(J25&gt;0,J25*J26,0)</x:f>
        <x:v>1.834478764478839</x:v>
      </x:c>
      <x:c r="K27" s="68" t="n">
        <x:f>IF(K25&gt;0,K25*K26,0)</x:f>
        <x:v>2.02632338005893</x:v>
      </x:c>
    </x:row>
    <x:row r="28">
      <x:c r="A28" t="str">
        <x:v>NOPAT ($bn)</x:v>
      </x:c>
      <x:c r="B28" s="28" t="n">
        <x:f>B25-B27</x:f>
        <x:v>1.489545</x:v>
      </x:c>
      <x:c r="C28" s="68" t="n">
        <x:f>C25-C27</x:f>
        <x:v>2.0533956499999997</x:v>
      </x:c>
      <x:c r="D28" s="68" t="n">
        <x:f>D25-D27</x:f>
        <x:v>2.6554349395000005</x:v>
      </x:c>
      <x:c r="E28" s="68" t="n">
        <x:f>E25-E27</x:f>
        <x:v>3.332567532060001</x:v>
      </x:c>
      <x:c r="F28" s="68" t="n">
        <x:f>F25-F27</x:f>
        <x:v>4.0950518862698</x:v>
      </x:c>
      <x:c r="G28" s="68" t="n">
        <x:f>G25-G27</x:f>
        <x:v>4.926699950506144</x:v>
      </x:c>
      <x:c r="H28" s="68" t="n">
        <x:f>H25-H27</x:f>
        <x:v>5.552224924291016</x:v>
      </x:c>
      <x:c r="I28" s="68" t="n">
        <x:f>I25-I27</x:f>
        <x:v>6.214213009153648</x:v>
      </x:c>
      <x:c r="J28" s="68" t="n">
        <x:f>J25-J27</x:f>
        <x:v>6.901134399706108</x:v>
      </x:c>
      <x:c r="K28" s="68" t="n">
        <x:f>K25-K27</x:f>
        <x:v>7.622835572602643</x:v>
      </x:c>
    </x:row>
    <x:row r="29">
      <x:c r="A29" t="str">
        <x:v>Non-financial capex / revenue</x:v>
      </x:c>
      <x:c r="B29" s="37" t="n">
        <x:v>0.02</x:v>
      </x:c>
      <x:c r="C29" s="37" t="n">
        <x:v>0.02</x:v>
      </x:c>
      <x:c r="D29" s="37" t="n">
        <x:v>0.02</x:v>
      </x:c>
      <x:c r="E29" s="37" t="n">
        <x:v>0.02</x:v>
      </x:c>
      <x:c r="F29" s="37" t="n">
        <x:v>0.02</x:v>
      </x:c>
      <x:c r="G29" s="37" t="n">
        <x:v>0.02</x:v>
      </x:c>
      <x:c r="H29" s="37" t="n">
        <x:v>0.02</x:v>
      </x:c>
      <x:c r="I29" s="37" t="n">
        <x:v>0.02</x:v>
      </x:c>
      <x:c r="J29" s="37" t="n">
        <x:v>0.02</x:v>
      </x:c>
      <x:c r="K29" s="37" t="n">
        <x:v>0.02</x:v>
      </x:c>
    </x:row>
    <x:row r="30">
      <x:c r="A30" t="str">
        <x:v>Non-financial capex ($bn)</x:v>
      </x:c>
      <x:c r="B30" s="28" t="n">
        <x:f>B20*B29</x:f>
        <x:v>0.571</x:v>
      </x:c>
      <x:c r="C30" s="68" t="n">
        <x:f>C20*C29</x:f>
        <x:v>0.6887700000000001</x:v>
      </x:c>
      <x:c r="D30" s="68" t="n">
        <x:f>D20*D29</x:f>
        <x:v>0.8032731</x:v>
      </x:c>
      <x:c r="E30" s="68" t="n">
        <x:f>E20*E29</x:f>
        <x:v>0.9127101779999999</x:v>
      </x:c>
      <x:c r="F30" s="68" t="n">
        <x:f>F20*F29</x:f>
        <x:v>1.01108314764</x:v>
      </x:c>
      <x:c r="G30" s="68" t="n">
        <x:f>G20*G29</x:f>
        <x:v>1.0998756869832</x:v>
      </x:c>
      <x:c r="H30" s="68" t="n">
        <x:f>H20*H29</x:f>
        <x:v>1.1842658985972963</x:v>
      </x:c>
      <x:c r="I30" s="68" t="n">
        <x:f>I20*I29</x:f>
        <x:v>1.2644905286111647</x:v>
      </x:c>
      <x:c r="J30" s="68" t="n">
        <x:f>J20*J29</x:f>
        <x:v>1.3386980086220062</x:v>
      </x:c>
      <x:c r="K30" s="68" t="n">
        <x:f>K20*K29</x:f>
        <x:v>1.4142810005098903</x:v>
      </x:c>
    </x:row>
    <x:row r="31">
      <x:c r="A31" s="63" t="str">
        <x:v>Monee on-book loan proxy ($bn)</x:v>
      </x:c>
      <x:c r="B31" s="202" t="n">
        <x:v>11</x:v>
      </x:c>
      <x:c r="C31" s="74" t="n">
        <x:f>B31*(1+0.25)</x:f>
        <x:v>13.75</x:v>
      </x:c>
      <x:c r="D31" s="74" t="n">
        <x:f>C31*(1+0.2)</x:f>
        <x:v>16.5</x:v>
      </x:c>
      <x:c r="E31" s="74" t="n">
        <x:f>D31*(1+0.16)</x:f>
        <x:v>19.139999999999997</x:v>
      </x:c>
      <x:c r="F31" s="74" t="n">
        <x:f>E31*(1+0.13)</x:f>
        <x:v>21.628199999999996</x:v>
      </x:c>
      <x:c r="G31" s="74" t="n">
        <x:f>F31*(1+0.1)</x:f>
        <x:v>23.791019999999996</x:v>
      </x:c>
      <x:c r="H31" s="74" t="n">
        <x:f>G31*(1+0.09)</x:f>
        <x:v>25.932211799999997</x:v>
      </x:c>
      <x:c r="I31" s="74" t="n">
        <x:f>H31*(1+0.08)</x:f>
        <x:v>28.006788743999998</x:v>
      </x:c>
      <x:c r="J31" s="74" t="n">
        <x:f>I31*(1+0.07)</x:f>
        <x:v>29.96726395608</x:v>
      </x:c>
      <x:c r="K31" s="74" t="n">
        <x:f>J31*(1+0.06)</x:f>
        <x:v>31.7652997934448</x:v>
      </x:c>
    </x:row>
    <x:row r="32">
      <x:c r="A32" t="str">
        <x:v>Monee equity capital charge ($bn)</x:v>
      </x:c>
      <x:c r="B32" s="78" t="n">
        <x:f>MAX(B31-8.8,0)*10%</x:f>
        <x:v>0.21999999999999995</x:v>
      </x:c>
      <x:c r="C32" s="68" t="n">
        <x:f>MAX(C31-B31,0)*10%</x:f>
        <x:v>0.275</x:v>
      </x:c>
      <x:c r="D32" s="68" t="n">
        <x:f>MAX(D31-C31,0)*10%</x:f>
        <x:v>0.275</x:v>
      </x:c>
      <x:c r="E32" s="68" t="n">
        <x:f>MAX(E31-D31,0)*10%</x:f>
        <x:v>0.26399999999999973</x:v>
      </x:c>
      <x:c r="F32" s="68" t="n">
        <x:f>MAX(F31-E31,0)*10%</x:f>
        <x:v>0.24881999999999993</x:v>
      </x:c>
      <x:c r="G32" s="68" t="n">
        <x:f>MAX(G31-F31,0)*10%</x:f>
        <x:v>0.216282</x:v>
      </x:c>
      <x:c r="H32" s="68" t="n">
        <x:f>MAX(H31-G31,0)*10%</x:f>
        <x:v>0.21411918000000016</x:v>
      </x:c>
      <x:c r="I32" s="68" t="n">
        <x:f>MAX(I31-H31,0)*10%</x:f>
        <x:v>0.20745769440000006</x:v>
      </x:c>
      <x:c r="J32" s="68" t="n">
        <x:f>MAX(J31-I31,0)*10%</x:f>
        <x:v>0.19604752120800023</x:v>
      </x:c>
      <x:c r="K32" s="68" t="n">
        <x:f>MAX(K31-J31,0)*10%</x:f>
        <x:v>0.17980358373648003</x:v>
      </x:c>
    </x:row>
    <x:row r="33">
      <x:c r="A33" t="str">
        <x:v>Normalized FCFF ($bn)</x:v>
      </x:c>
      <x:c r="B33" s="28" t="n">
        <x:f>B28+B24-B30-B32</x:f>
        <x:v>1.8405450000000003</x:v>
      </x:c>
      <x:c r="C33" s="68" t="n">
        <x:f>C28+C24-C30-C32</x:f>
        <x:v>2.4671656499999997</x:v>
      </x:c>
      <x:c r="D33" s="68" t="n">
        <x:f>D28+D24-D30-D32</x:f>
        <x:v>3.1837080395000004</x:v>
      </x:c>
      <x:c r="E33" s="68" t="n">
        <x:f>E28+E24-E30-E32</x:f>
        <x:v>3.981277710060001</x:v>
      </x:c>
      <x:c r="F33" s="68" t="n">
        <x:f>F28+F24-F30-F32</x:f>
        <x:v>4.8573150339098</x:v>
      </x:c>
      <x:c r="G33" s="68" t="n">
        <x:f>G28+G24-G30-G32</x:f>
        <x:v>5.810293637489345</x:v>
      </x:c>
      <x:c r="H33" s="68" t="n">
        <x:f>H28+H24-H30-H32</x:f>
        <x:v>6.522371642888312</x:v>
      </x:c>
      <x:c r="I33" s="68" t="n">
        <x:f>I28+I24-I30-I32</x:f>
        <x:v>7.271245843364812</x:v>
      </x:c>
      <x:c r="J33" s="68" t="n">
        <x:f>J28+J24-J30-J32</x:f>
        <x:v>8.043784887120113</x:v>
      </x:c>
      <x:c r="K33" s="68" t="n">
        <x:f>K28+K24-K30-K32</x:f>
        <x:v>8.857312989376053</x:v>
      </x:c>
    </x:row>
    <x:row r="34">
      <x:c r="A34"/>
      <x:c r="B34" s="82"/>
      <x:c r="C34" s="83"/>
      <x:c r="D34" s="83"/>
      <x:c r="E34" s="83"/>
      <x:c r="F34" s="83"/>
      <x:c r="G34" s="83"/>
      <x:c r="H34" s="83"/>
      <x:c r="I34" s="83"/>
      <x:c r="J34" s="83"/>
      <x:c r="K34" s="83"/>
    </x:row>
    <x:row r="35">
      <x:c r="A35" s="63" t="str">
        <x:v>Base Scenario</x:v>
      </x:c>
      <x:c r="B35" s="74" t="str">
        <x:v>Base Scenario</x:v>
      </x:c>
      <x:c r="C35" s="74" t="str">
        <x:v>Base Scenario</x:v>
      </x:c>
      <x:c r="D35" s="74" t="str">
        <x:v>Base Scenario</x:v>
      </x:c>
      <x:c r="E35" s="74" t="str">
        <x:v>Base Scenario</x:v>
      </x:c>
      <x:c r="F35" s="74" t="str">
        <x:v>Base Scenario</x:v>
      </x:c>
      <x:c r="G35" s="74" t="str">
        <x:v>Base Scenario</x:v>
      </x:c>
      <x:c r="H35" s="74" t="str">
        <x:v>Base Scenario</x:v>
      </x:c>
      <x:c r="I35" s="74" t="str">
        <x:v>Base Scenario</x:v>
      </x:c>
      <x:c r="J35" s="74" t="str">
        <x:v>Base Scenario</x:v>
      </x:c>
      <x:c r="K35" s="74" t="str">
        <x:v>Base Scenario</x:v>
      </x:c>
    </x:row>
    <x:row r="36">
      <x:c r="A36" t="str">
        <x:v>Shopee revenue ($bn)</x:v>
      </x:c>
      <x:c r="B36" s="78" t="n">
        <x:v>21.5</x:v>
      </x:c>
      <x:c r="C36" s="68" t="n">
        <x:f>B36*(1+0.22)</x:f>
        <x:v>26.23</x:v>
      </x:c>
      <x:c r="D36" s="68" t="n">
        <x:f>C36*(1+0.18)</x:f>
        <x:v>30.9514</x:v>
      </x:c>
      <x:c r="E36" s="68" t="n">
        <x:f>D36*(1+0.15)</x:f>
        <x:v>35.59410999999999</x:v>
      </x:c>
      <x:c r="F36" s="68" t="n">
        <x:f>E36*(1+0.13)</x:f>
        <x:v>40.22134429999999</x:v>
      </x:c>
      <x:c r="G36" s="68" t="n">
        <x:f>F36*(1+0.11)</x:f>
        <x:v>44.64569217299999</x:v>
      </x:c>
      <x:c r="H36" s="68" t="n">
        <x:f>G36*(1+0.1)</x:f>
        <x:v>49.110261390299996</x:v>
      </x:c>
      <x:c r="I36" s="68" t="n">
        <x:f>H36*(1+0.09)</x:f>
        <x:v>53.530184915427</x:v>
      </x:c>
      <x:c r="J36" s="68" t="n">
        <x:f>I36*(1+0.08)</x:f>
        <x:v>57.81259970866116</x:v>
      </x:c>
      <x:c r="K36" s="68" t="n">
        <x:f>J36*(1+0.07)</x:f>
        <x:v>61.859481688267444</x:v>
      </x:c>
    </x:row>
    <x:row r="37">
      <x:c r="A37" t="str">
        <x:v>Shopee revenue growth</x:v>
      </x:c>
      <x:c r="B37" s="30"/>
      <x:c r="C37" s="70" t="n">
        <x:f>C36/B36-1</x:f>
        <x:v>0.21999999999999997</x:v>
      </x:c>
      <x:c r="D37" s="70" t="n">
        <x:f>D36/C36-1</x:f>
        <x:v>0.17999999999999994</x:v>
      </x:c>
      <x:c r="E37" s="70" t="n">
        <x:f>E36/D36-1</x:f>
        <x:v>0.1499999999999999</x:v>
      </x:c>
      <x:c r="F37" s="70" t="n">
        <x:f>F36/E36-1</x:f>
        <x:v>0.1299999999999999</x:v>
      </x:c>
      <x:c r="G37" s="70" t="n">
        <x:f>G36/F36-1</x:f>
        <x:v>0.1100000000000001</x:v>
      </x:c>
      <x:c r="H37" s="70" t="n">
        <x:f>H36/G36-1</x:f>
        <x:v>0.10000000000000009</x:v>
      </x:c>
      <x:c r="I37" s="70" t="n">
        <x:f>I36/H36-1</x:f>
        <x:v>0.09000000000000008</x:v>
      </x:c>
      <x:c r="J37" s="70" t="n">
        <x:f>J36/I36-1</x:f>
        <x:v>0.08000000000000007</x:v>
      </x:c>
      <x:c r="K37" s="70" t="n">
        <x:f>K36/J36-1</x:f>
        <x:v>0.07000000000000006</x:v>
      </x:c>
    </x:row>
    <x:row r="38">
      <x:c r="A38" t="str">
        <x:v>Shopee adj. EBITDA margin</x:v>
      </x:c>
      <x:c r="B38" s="82" t="n">
        <x:v>0.042</x:v>
      </x:c>
      <x:c r="C38" s="82" t="n">
        <x:v>0.055</x:v>
      </x:c>
      <x:c r="D38" s="82" t="n">
        <x:v>0.07</x:v>
      </x:c>
      <x:c r="E38" s="82" t="n">
        <x:v>0.085</x:v>
      </x:c>
      <x:c r="F38" s="82" t="n">
        <x:v>0.1</x:v>
      </x:c>
      <x:c r="G38" s="82" t="n">
        <x:v>0.11</x:v>
      </x:c>
      <x:c r="H38" s="82" t="n">
        <x:v>0.12</x:v>
      </x:c>
      <x:c r="I38" s="82" t="n">
        <x:v>0.125</x:v>
      </x:c>
      <x:c r="J38" s="82" t="n">
        <x:v>0.13</x:v>
      </x:c>
      <x:c r="K38" s="82" t="n">
        <x:v>0.135</x:v>
      </x:c>
    </x:row>
    <x:row r="39">
      <x:c r="A39" t="str">
        <x:v>Shopee adj. EBITDA ($bn)</x:v>
      </x:c>
      <x:c r="B39" s="28" t="n">
        <x:f>B36*B38</x:f>
        <x:v>0.903</x:v>
      </x:c>
      <x:c r="C39" s="68" t="n">
        <x:f>C36*C38</x:f>
        <x:v>1.44265</x:v>
      </x:c>
      <x:c r="D39" s="68" t="n">
        <x:f>D36*D38</x:f>
        <x:v>2.166598</x:v>
      </x:c>
      <x:c r="E39" s="68" t="n">
        <x:f>E36*E38</x:f>
        <x:v>3.0254993499999996</x:v>
      </x:c>
      <x:c r="F39" s="68" t="n">
        <x:f>F36*F38</x:f>
        <x:v>4.0221344299999995</x:v>
      </x:c>
      <x:c r="G39" s="68" t="n">
        <x:f>G36*G38</x:f>
        <x:v>4.91102613903</x:v>
      </x:c>
      <x:c r="H39" s="68" t="n">
        <x:f>H36*H38</x:f>
        <x:v>5.893231366835999</x:v>
      </x:c>
      <x:c r="I39" s="68" t="n">
        <x:f>I36*I38</x:f>
        <x:v>6.691273114428375</x:v>
      </x:c>
      <x:c r="J39" s="68" t="n">
        <x:f>J36*J38</x:f>
        <x:v>7.515637962125951</x:v>
      </x:c>
      <x:c r="K39" s="68" t="n">
        <x:f>K36*K38</x:f>
        <x:v>8.351030027916105</x:v>
      </x:c>
    </x:row>
    <x:row r="40">
      <x:c r="A40" t="str">
        <x:v>Monee revenue ($bn)</x:v>
      </x:c>
      <x:c r="B40" s="78" t="n">
        <x:v>5.4</x:v>
      </x:c>
      <x:c r="C40" s="68" t="n">
        <x:f>B40*(1+0.32)</x:f>
        <x:v>7.128000000000001</x:v>
      </x:c>
      <x:c r="D40" s="68" t="n">
        <x:f>C40*(1+0.27)</x:f>
        <x:v>9.052560000000001</x:v>
      </x:c>
      <x:c r="E40" s="68" t="n">
        <x:f>D40*(1+0.23)</x:f>
        <x:v>11.1346488</x:v>
      </x:c>
      <x:c r="F40" s="68" t="n">
        <x:f>E40*(1+0.19)</x:f>
        <x:v>13.250232072000001</x:v>
      </x:c>
      <x:c r="G40" s="68" t="n">
        <x:f>F40*(1+0.16)</x:f>
        <x:v>15.37026920352</x:v>
      </x:c>
      <x:c r="H40" s="68" t="n">
        <x:f>G40*(1+0.14)</x:f>
        <x:v>17.5221068920128</x:v>
      </x:c>
      <x:c r="I40" s="68" t="n">
        <x:f>H40*(1+0.12)</x:f>
        <x:v>19.62475971905434</x:v>
      </x:c>
      <x:c r="J40" s="68" t="n">
        <x:f>I40*(1+0.1)</x:f>
        <x:v>21.587235690959773</x:v>
      </x:c>
      <x:c r="K40" s="68" t="n">
        <x:f>J40*(1+0.09)</x:f>
        <x:v>23.530086903146152</x:v>
      </x:c>
    </x:row>
    <x:row r="41">
      <x:c r="A41" t="str">
        <x:v>Monee revenue growth</x:v>
      </x:c>
      <x:c r="B41" s="30"/>
      <x:c r="C41" s="70" t="n">
        <x:f>C40/B40-1</x:f>
        <x:v>0.32000000000000006</x:v>
      </x:c>
      <x:c r="D41" s="70" t="n">
        <x:f>D40/C40-1</x:f>
        <x:v>0.27</x:v>
      </x:c>
      <x:c r="E41" s="70" t="n">
        <x:f>E40/D40-1</x:f>
        <x:v>0.22999999999999998</x:v>
      </x:c>
      <x:c r="F41" s="70" t="n">
        <x:f>F40/E40-1</x:f>
        <x:v>0.18999999999999995</x:v>
      </x:c>
      <x:c r="G41" s="70" t="n">
        <x:f>G40/F40-1</x:f>
        <x:v>0.15999999999999992</x:v>
      </x:c>
      <x:c r="H41" s="70" t="n">
        <x:f>H40/G40-1</x:f>
        <x:v>0.14000000000000012</x:v>
      </x:c>
      <x:c r="I41" s="70" t="n">
        <x:f>I40/H40-1</x:f>
        <x:v>0.1200000000000001</x:v>
      </x:c>
      <x:c r="J41" s="70" t="n">
        <x:f>J40/I40-1</x:f>
        <x:v>0.10000000000000009</x:v>
      </x:c>
      <x:c r="K41" s="70" t="n">
        <x:f>K40/J40-1</x:f>
        <x:v>0.09000000000000008</x:v>
      </x:c>
    </x:row>
    <x:row r="42">
      <x:c r="A42" t="str">
        <x:v>Monee adj. EBITDA margin</x:v>
      </x:c>
      <x:c r="B42" s="82" t="n">
        <x:v>0.22</x:v>
      </x:c>
      <x:c r="C42" s="82" t="n">
        <x:v>0.25</x:v>
      </x:c>
      <x:c r="D42" s="82" t="n">
        <x:v>0.28</x:v>
      </x:c>
      <x:c r="E42" s="82" t="n">
        <x:v>0.3</x:v>
      </x:c>
      <x:c r="F42" s="82" t="n">
        <x:v>0.32</x:v>
      </x:c>
      <x:c r="G42" s="82" t="n">
        <x:v>0.34</x:v>
      </x:c>
      <x:c r="H42" s="82" t="n">
        <x:v>0.35</x:v>
      </x:c>
      <x:c r="I42" s="82" t="n">
        <x:v>0.36</x:v>
      </x:c>
      <x:c r="J42" s="82" t="n">
        <x:v>0.37</x:v>
      </x:c>
      <x:c r="K42" s="82" t="n">
        <x:v>0.38</x:v>
      </x:c>
    </x:row>
    <x:row r="43">
      <x:c r="A43" t="str">
        <x:v>Monee adj. EBITDA ($bn)</x:v>
      </x:c>
      <x:c r="B43" s="28" t="n">
        <x:f>B40*B42</x:f>
        <x:v>1.1880000000000002</x:v>
      </x:c>
      <x:c r="C43" s="68" t="n">
        <x:f>C40*C42</x:f>
        <x:v>1.7820000000000003</x:v>
      </x:c>
      <x:c r="D43" s="68" t="n">
        <x:f>D40*D42</x:f>
        <x:v>2.534716800000001</x:v>
      </x:c>
      <x:c r="E43" s="68" t="n">
        <x:f>E40*E42</x:f>
        <x:v>3.34039464</x:v>
      </x:c>
      <x:c r="F43" s="68" t="n">
        <x:f>F40*F42</x:f>
        <x:v>4.24007426304</x:v>
      </x:c>
      <x:c r="G43" s="68" t="n">
        <x:f>G40*G42</x:f>
        <x:v>5.2258915291968</x:v>
      </x:c>
      <x:c r="H43" s="68" t="n">
        <x:f>H40*H42</x:f>
        <x:v>6.13273741220448</x:v>
      </x:c>
      <x:c r="I43" s="68" t="n">
        <x:f>I40*I42</x:f>
        <x:v>7.064913498859561</x:v>
      </x:c>
      <x:c r="J43" s="68" t="n">
        <x:f>J40*J42</x:f>
        <x:v>7.987277205655116</x:v>
      </x:c>
      <x:c r="K43" s="68" t="n">
        <x:f>K40*K42</x:f>
        <x:v>8.941433023195538</x:v>
      </x:c>
    </x:row>
    <x:row r="44">
      <x:c r="A44" t="str">
        <x:v>Garena revenue ($bn)</x:v>
      </x:c>
      <x:c r="B44" s="78" t="n">
        <x:v>2.85</x:v>
      </x:c>
      <x:c r="C44" s="68" t="n">
        <x:f>B44*(1+0.1)</x:f>
        <x:v>3.1350000000000002</x:v>
      </x:c>
      <x:c r="D44" s="68" t="n">
        <x:f>C44*(1+0.08)</x:f>
        <x:v>3.3858000000000006</x:v>
      </x:c>
      <x:c r="E44" s="68" t="n">
        <x:f>D44*(1+0.07)</x:f>
        <x:v>3.6228060000000006</x:v>
      </x:c>
      <x:c r="F44" s="68" t="n">
        <x:f>E44*(1+0.06)</x:f>
        <x:v>3.8401743600000007</x:v>
      </x:c>
      <x:c r="G44" s="68" t="n">
        <x:f>F44*(1+0.05)</x:f>
        <x:v>4.032183078000001</x:v>
      </x:c>
      <x:c r="H44" s="68" t="n">
        <x:f>G44*(1+0.05)</x:f>
        <x:v>4.233792231900002</x:v>
      </x:c>
      <x:c r="I44" s="68" t="n">
        <x:f>H44*(1+0.04)</x:f>
        <x:v>4.403143921176002</x:v>
      </x:c>
      <x:c r="J44" s="68" t="n">
        <x:f>I44*(1+0.04)</x:f>
        <x:v>4.579269678023042</x:v>
      </x:c>
      <x:c r="K44" s="68" t="n">
        <x:f>J44*(1+0.03)</x:f>
        <x:v>4.716647768363734</x:v>
      </x:c>
    </x:row>
    <x:row r="45">
      <x:c r="A45" t="str">
        <x:v>Garena revenue growth</x:v>
      </x:c>
      <x:c r="B45" s="82"/>
      <x:c r="C45" s="83" t="n">
        <x:f>C44/B44-1</x:f>
        <x:v>0.10000000000000009</x:v>
      </x:c>
      <x:c r="D45" s="83" t="n">
        <x:f>D44/C44-1</x:f>
        <x:v>0.08000000000000007</x:v>
      </x:c>
      <x:c r="E45" s="83" t="n">
        <x:f>E44/D44-1</x:f>
        <x:v>0.07000000000000006</x:v>
      </x:c>
      <x:c r="F45" s="83" t="n">
        <x:f>F44/E44-1</x:f>
        <x:v>0.06000000000000005</x:v>
      </x:c>
      <x:c r="G45" s="83" t="n">
        <x:f>G44/F44-1</x:f>
        <x:v>0.050000000000000044</x:v>
      </x:c>
      <x:c r="H45" s="83" t="n">
        <x:f>H44/G44-1</x:f>
        <x:v>0.050000000000000044</x:v>
      </x:c>
      <x:c r="I45" s="83" t="n">
        <x:f>I44/H44-1</x:f>
        <x:v>0.040000000000000036</x:v>
      </x:c>
      <x:c r="J45" s="83" t="n">
        <x:f>J44/I44-1</x:f>
        <x:v>0.040000000000000036</x:v>
      </x:c>
      <x:c r="K45" s="83" t="n">
        <x:f>K44/J44-1</x:f>
        <x:v>0.030000000000000027</x:v>
      </x:c>
    </x:row>
    <x:row r="46">
      <x:c r="A46" t="str">
        <x:v>Garena adj. EBITDA margin</x:v>
      </x:c>
      <x:c r="B46" s="82" t="n">
        <x:v>0.684</x:v>
      </x:c>
      <x:c r="C46" s="82" t="n">
        <x:v>0.69</x:v>
      </x:c>
      <x:c r="D46" s="82" t="n">
        <x:v>0.7</x:v>
      </x:c>
      <x:c r="E46" s="82" t="n">
        <x:v>0.7</x:v>
      </x:c>
      <x:c r="F46" s="82" t="n">
        <x:v>0.69</x:v>
      </x:c>
      <x:c r="G46" s="82" t="n">
        <x:v>0.68</x:v>
      </x:c>
      <x:c r="H46" s="82" t="n">
        <x:v>0.67</x:v>
      </x:c>
      <x:c r="I46" s="82" t="n">
        <x:v>0.66</x:v>
      </x:c>
      <x:c r="J46" s="82" t="n">
        <x:v>0.65</x:v>
      </x:c>
      <x:c r="K46" s="82" t="n">
        <x:v>0.65</x:v>
      </x:c>
    </x:row>
    <x:row r="47">
      <x:c r="A47" t="str">
        <x:v>Garena adj. EBITDA ($bn)</x:v>
      </x:c>
      <x:c r="B47" s="28" t="n">
        <x:f>B44*B46</x:f>
        <x:v>1.9494000000000002</x:v>
      </x:c>
      <x:c r="C47" s="68" t="n">
        <x:f>C44*C46</x:f>
        <x:v>2.16315</x:v>
      </x:c>
      <x:c r="D47" s="68" t="n">
        <x:f>D44*D46</x:f>
        <x:v>2.37006</x:v>
      </x:c>
      <x:c r="E47" s="68" t="n">
        <x:f>E44*E46</x:f>
        <x:v>2.5359642000000004</x:v>
      </x:c>
      <x:c r="F47" s="68" t="n">
        <x:f>F44*F46</x:f>
        <x:v>2.6497203084</x:v>
      </x:c>
      <x:c r="G47" s="68" t="n">
        <x:f>G44*G46</x:f>
        <x:v>2.741884493040001</x:v>
      </x:c>
      <x:c r="H47" s="68" t="n">
        <x:f>H44*H46</x:f>
        <x:v>2.8366407953730013</x:v>
      </x:c>
      <x:c r="I47" s="68" t="n">
        <x:f>I44*I46</x:f>
        <x:v>2.9060749879761616</x:v>
      </x:c>
      <x:c r="J47" s="68" t="n">
        <x:f>J44*J46</x:f>
        <x:v>2.9765252907149775</x:v>
      </x:c>
      <x:c r="K47" s="68" t="n">
        <x:f>K44*K46</x:f>
        <x:v>3.065821049436427</x:v>
      </x:c>
    </x:row>
    <x:row r="48">
      <x:c r="A48" t="str">
        <x:v>Other revenue ($bn)</x:v>
      </x:c>
      <x:c r="B48" s="36" t="n">
        <x:v>0.2</x:v>
      </x:c>
      <x:c r="C48" s="36" t="n">
        <x:v>0.21600000000000003</x:v>
      </x:c>
      <x:c r="D48" s="36" t="n">
        <x:v>0.23328000000000004</x:v>
      </x:c>
      <x:c r="E48" s="36" t="n">
        <x:v>0.25194240000000007</x:v>
      </x:c>
      <x:c r="F48" s="36" t="n">
        <x:v>0.27209779200000006</x:v>
      </x:c>
      <x:c r="G48" s="36" t="n">
        <x:v>0.2938656153600001</x:v>
      </x:c>
      <x:c r="H48" s="36" t="n">
        <x:v>0.31737486458880015</x:v>
      </x:c>
      <x:c r="I48" s="36" t="n">
        <x:v>0.3427648537559042</x:v>
      </x:c>
      <x:c r="J48" s="36" t="n">
        <x:v>0.3701860420563765</x:v>
      </x:c>
      <x:c r="K48" s="36" t="n">
        <x:v>0.3998009254208867</x:v>
      </x:c>
    </x:row>
    <x:row r="49">
      <x:c r="A49" t="str">
        <x:v>Corporate / other EBITDA drag ($bn)</x:v>
      </x:c>
      <x:c r="B49" s="78" t="n">
        <x:v>0.2</x:v>
      </x:c>
      <x:c r="C49" s="78" t="n">
        <x:v>0.25</x:v>
      </x:c>
      <x:c r="D49" s="78" t="n">
        <x:v>0.3</x:v>
      </x:c>
      <x:c r="E49" s="78" t="n">
        <x:v>0.35</x:v>
      </x:c>
      <x:c r="F49" s="78" t="n">
        <x:v>0.4</x:v>
      </x:c>
      <x:c r="G49" s="78" t="n">
        <x:v>0.45</x:v>
      </x:c>
      <x:c r="H49" s="78" t="n">
        <x:v>0.5</x:v>
      </x:c>
      <x:c r="I49" s="78" t="n">
        <x:v>0.55</x:v>
      </x:c>
      <x:c r="J49" s="78" t="n">
        <x:v>0.6</x:v>
      </x:c>
      <x:c r="K49" s="78" t="n">
        <x:v>0.65</x:v>
      </x:c>
    </x:row>
    <x:row r="50">
      <x:c r="A50" t="str">
        <x:v>Group revenue ($bn)</x:v>
      </x:c>
      <x:c r="B50" s="28" t="n">
        <x:f>B36+B40+B44+B48</x:f>
        <x:v>29.95</x:v>
      </x:c>
      <x:c r="C50" s="68" t="n">
        <x:f>C36+C40+C44+C48</x:f>
        <x:v>36.709</x:v>
      </x:c>
      <x:c r="D50" s="68" t="n">
        <x:f>D36+D40+D44+D48</x:f>
        <x:v>43.62304</x:v>
      </x:c>
      <x:c r="E50" s="68" t="n">
        <x:f>E36+E40+E44+E48</x:f>
        <x:v>50.60350719999999</x:v>
      </x:c>
      <x:c r="F50" s="68" t="n">
        <x:f>F36+F40+F44+F48</x:f>
        <x:v>57.58384852399999</x:v>
      </x:c>
      <x:c r="G50" s="68" t="n">
        <x:f>G36+G40+G44+G48</x:f>
        <x:v>64.34201006988</x:v>
      </x:c>
      <x:c r="H50" s="68" t="n">
        <x:f>H36+H40+H44+H48</x:f>
        <x:v>71.1835353788016</x:v>
      </x:c>
      <x:c r="I50" s="68" t="n">
        <x:f>I36+I40+I44+I48</x:f>
        <x:v>77.90085340941324</x:v>
      </x:c>
      <x:c r="J50" s="68" t="n">
        <x:f>J36+J40+J44+J48</x:f>
        <x:v>84.34929111970035</x:v>
      </x:c>
      <x:c r="K50" s="68" t="n">
        <x:f>K36+K40+K44+K48</x:f>
        <x:v>90.50601728519821</x:v>
      </x:c>
    </x:row>
    <x:row r="51">
      <x:c r="A51" t="str">
        <x:v>Group adjusted EBITDA ($bn)</x:v>
      </x:c>
      <x:c r="B51" s="28" t="n">
        <x:f>B39+B43+B47-B49</x:f>
        <x:v>3.8404</x:v>
      </x:c>
      <x:c r="C51" s="68" t="n">
        <x:f>C39+C43+C47-C49</x:f>
        <x:v>5.1378</x:v>
      </x:c>
      <x:c r="D51" s="68" t="n">
        <x:f>D39+D43+D47-D49</x:f>
        <x:v>6.771374800000001</x:v>
      </x:c>
      <x:c r="E51" s="68" t="n">
        <x:f>E39+E43+E47-E49</x:f>
        <x:v>8.55185819</x:v>
      </x:c>
      <x:c r="F51" s="68" t="n">
        <x:f>F39+F43+F47-F49</x:f>
        <x:v>10.51192900144</x:v>
      </x:c>
      <x:c r="G51" s="68" t="n">
        <x:f>G39+G43+G47-G49</x:f>
        <x:v>12.428802161266802</x:v>
      </x:c>
      <x:c r="H51" s="68" t="n">
        <x:f>H39+H43+H47-H49</x:f>
        <x:v>14.36260957441348</x:v>
      </x:c>
      <x:c r="I51" s="68" t="n">
        <x:f>I39+I43+I47-I49</x:f>
        <x:v>16.1122616012641</x:v>
      </x:c>
      <x:c r="J51" s="68" t="n">
        <x:f>J39+J43+J47-J49</x:f>
        <x:v>17.879440458496042</x:v>
      </x:c>
      <x:c r="K51" s="68" t="n">
        <x:f>K39+K43+K47-K49</x:f>
        <x:v>19.70828410054807</x:v>
      </x:c>
    </x:row>
    <x:row r="52">
      <x:c r="A52" t="str">
        <x:v>Group EBITDA margin</x:v>
      </x:c>
      <x:c r="B52" s="37" t="n">
        <x:f>B51/B50</x:f>
        <x:v>0.1282270450751252</x:v>
      </x:c>
      <x:c r="C52" s="70" t="n">
        <x:f>C51/C50</x:f>
        <x:v>0.1399602277370672</x:v>
      </x:c>
      <x:c r="D52" s="70" t="n">
        <x:f>D51/D50</x:f>
        <x:v>0.15522473445225277</x:v>
      </x:c>
      <x:c r="E52" s="70" t="n">
        <x:f>E51/E50</x:f>
        <x:v>0.168997341551852</x:v>
      </x:c>
      <x:c r="F52" s="70" t="n">
        <x:f>F51/F50</x:f>
        <x:v>0.18254995577551236</x:v>
      </x:c>
      <x:c r="G52" s="70" t="n">
        <x:f>G51/G50</x:f>
        <x:v>0.193167763142125</x:v>
      </x:c>
      <x:c r="H52" s="70" t="n">
        <x:f>H51/H50</x:f>
        <x:v>0.2017687025234582</x:v>
      </x:c>
      <x:c r="I52" s="70" t="n">
        <x:f>I51/I50</x:f>
        <x:v>0.20683036059419027</x:v>
      </x:c>
      <x:c r="J52" s="70" t="n">
        <x:f>J51/J50</x:f>
        <x:v>0.21196906602479054</x:v>
      </x:c>
      <x:c r="K52" s="70" t="n">
        <x:f>K51/K50</x:f>
        <x:v>0.21775661654013867</x:v>
      </x:c>
    </x:row>
    <x:row r="53">
      <x:c r="A53" t="str">
        <x:v>D&amp;A / revenue</x:v>
      </x:c>
      <x:c r="B53" s="37" t="n">
        <x:v>0.04</x:v>
      </x:c>
      <x:c r="C53" s="37" t="n">
        <x:v>0.04</x:v>
      </x:c>
      <x:c r="D53" s="37" t="n">
        <x:v>0.04</x:v>
      </x:c>
      <x:c r="E53" s="37" t="n">
        <x:v>0.04</x:v>
      </x:c>
      <x:c r="F53" s="37" t="n">
        <x:v>0.04</x:v>
      </x:c>
      <x:c r="G53" s="37" t="n">
        <x:v>0.04</x:v>
      </x:c>
      <x:c r="H53" s="37" t="n">
        <x:v>0.04</x:v>
      </x:c>
      <x:c r="I53" s="37" t="n">
        <x:v>0.04</x:v>
      </x:c>
      <x:c r="J53" s="37" t="n">
        <x:v>0.04</x:v>
      </x:c>
      <x:c r="K53" s="37" t="n">
        <x:v>0.04</x:v>
      </x:c>
    </x:row>
    <x:row r="54">
      <x:c r="A54" t="str">
        <x:v>D&amp;A ($bn)</x:v>
      </x:c>
      <x:c r="B54" s="28" t="n">
        <x:f>B50*B53</x:f>
        <x:v>1.198</x:v>
      </x:c>
      <x:c r="C54" s="68" t="n">
        <x:f>C50*C53</x:f>
        <x:v>1.46836</x:v>
      </x:c>
      <x:c r="D54" s="68" t="n">
        <x:f>D50*D53</x:f>
        <x:v>1.7449216</x:v>
      </x:c>
      <x:c r="E54" s="68" t="n">
        <x:f>E50*E53</x:f>
        <x:v>2.0241402879999995</x:v>
      </x:c>
      <x:c r="F54" s="68" t="n">
        <x:f>F50*F53</x:f>
        <x:v>2.3033539409599997</x:v>
      </x:c>
      <x:c r="G54" s="68" t="n">
        <x:f>G50*G53</x:f>
        <x:v>2.5736804027952003</x:v>
      </x:c>
      <x:c r="H54" s="68" t="n">
        <x:f>H50*H53</x:f>
        <x:v>2.847341415152064</x:v>
      </x:c>
      <x:c r="I54" s="68" t="n">
        <x:f>I50*I53</x:f>
        <x:v>3.11603413637653</x:v>
      </x:c>
      <x:c r="J54" s="68" t="n">
        <x:f>J50*J53</x:f>
        <x:v>3.373971644788014</x:v>
      </x:c>
      <x:c r="K54" s="68" t="n">
        <x:f>K50*K53</x:f>
        <x:v>3.6202406914079286</x:v>
      </x:c>
    </x:row>
    <x:row r="55">
      <x:c r="A55" t="str">
        <x:v>EBIT ($bn)</x:v>
      </x:c>
      <x:c r="B55" s="36" t="n">
        <x:f>B51-B54</x:f>
        <x:v>2.6424</x:v>
      </x:c>
      <x:c r="C55" s="68" t="n">
        <x:f>C51-C54</x:f>
        <x:v>3.6694400000000003</x:v>
      </x:c>
      <x:c r="D55" s="68" t="n">
        <x:f>D51-D54</x:f>
        <x:v>5.026453200000001</x:v>
      </x:c>
      <x:c r="E55" s="68" t="n">
        <x:f>E51-E54</x:f>
        <x:v>6.527717902000001</x:v>
      </x:c>
      <x:c r="F55" s="68" t="n">
        <x:f>F51-F54</x:f>
        <x:v>8.208575060480001</x:v>
      </x:c>
      <x:c r="G55" s="68" t="n">
        <x:f>G51-G54</x:f>
        <x:v>9.8551217584716</x:v>
      </x:c>
      <x:c r="H55" s="68" t="n">
        <x:f>H51-H54</x:f>
        <x:v>11.515268159261415</x:v>
      </x:c>
      <x:c r="I55" s="68" t="n">
        <x:f>I51-I54</x:f>
        <x:v>12.996227464887568</x:v>
      </x:c>
      <x:c r="J55" s="68" t="n">
        <x:f>J51-J54</x:f>
        <x:v>14.505468813708028</x:v>
      </x:c>
      <x:c r="K55" s="68" t="n">
        <x:f>K51-K54</x:f>
        <x:v>16.08804340914014</x:v>
      </x:c>
    </x:row>
    <x:row r="56">
      <x:c r="A56" t="str">
        <x:v>Cash tax rate</x:v>
      </x:c>
      <x:c r="B56" s="37" t="n">
        <x:v>0.21</x:v>
      </x:c>
      <x:c r="C56" s="37" t="n">
        <x:v>0.21</x:v>
      </x:c>
      <x:c r="D56" s="37" t="n">
        <x:v>0.21</x:v>
      </x:c>
      <x:c r="E56" s="37" t="n">
        <x:v>0.21</x:v>
      </x:c>
      <x:c r="F56" s="37" t="n">
        <x:v>0.21</x:v>
      </x:c>
      <x:c r="G56" s="37" t="n">
        <x:v>0.21</x:v>
      </x:c>
      <x:c r="H56" s="37" t="n">
        <x:v>0.21</x:v>
      </x:c>
      <x:c r="I56" s="37" t="n">
        <x:v>0.21</x:v>
      </x:c>
      <x:c r="J56" s="37" t="n">
        <x:v>0.21</x:v>
      </x:c>
      <x:c r="K56" s="37" t="n">
        <x:v>0.21</x:v>
      </x:c>
    </x:row>
    <x:row r="57">
      <x:c r="A57" s="63" t="str">
        <x:v>Cash taxes ($bn)</x:v>
      </x:c>
      <x:c r="B57" s="74" t="n">
        <x:f>IF(B55&gt;0,B55*B56,0)</x:f>
        <x:v>0.554904</x:v>
      </x:c>
      <x:c r="C57" s="74" t="n">
        <x:f>IF(C55&gt;0,C55*C56,0)</x:f>
        <x:v>0.7705824</x:v>
      </x:c>
      <x:c r="D57" s="74" t="n">
        <x:f>IF(D55&gt;0,D55*D56,0)</x:f>
        <x:v>1.055555172</x:v>
      </x:c>
      <x:c r="E57" s="74" t="n">
        <x:f>IF(E55&gt;0,E55*E56,0)</x:f>
        <x:v>1.3708207594200001</x:v>
      </x:c>
      <x:c r="F57" s="74" t="n">
        <x:f>IF(F55&gt;0,F55*F56,0)</x:f>
        <x:v>1.7238007627008003</x:v>
      </x:c>
      <x:c r="G57" s="74" t="n">
        <x:f>IF(G55&gt;0,G55*G56,0)</x:f>
        <x:v>2.069575569279036</x:v>
      </x:c>
      <x:c r="H57" s="74" t="n">
        <x:f>IF(H55&gt;0,H55*H56,0)</x:f>
        <x:v>2.4182063134448972</x:v>
      </x:c>
      <x:c r="I57" s="74" t="n">
        <x:f>IF(I55&gt;0,I55*I56,0)</x:f>
        <x:v>2.7292077676263893</x:v>
      </x:c>
      <x:c r="J57" s="74" t="n">
        <x:f>IF(J55&gt;0,J55*J56,0)</x:f>
        <x:v>3.0461484508786856</x:v>
      </x:c>
      <x:c r="K57" s="74" t="n">
        <x:f>IF(K55&gt;0,K55*K56,0)</x:f>
        <x:v>3.3784891159194297</x:v>
      </x:c>
    </x:row>
    <x:row r="58">
      <x:c r="A58" t="str">
        <x:v>NOPAT ($bn)</x:v>
      </x:c>
      <x:c r="B58" s="36" t="n">
        <x:f>B55-B57</x:f>
        <x:v>2.087496</x:v>
      </x:c>
      <x:c r="C58" s="68" t="n">
        <x:f>C55-C57</x:f>
        <x:v>2.8988576000000004</x:v>
      </x:c>
      <x:c r="D58" s="68" t="n">
        <x:f>D55-D57</x:f>
        <x:v>3.9708980280000006</x:v>
      </x:c>
      <x:c r="E58" s="68" t="n">
        <x:f>E55-E57</x:f>
        <x:v>5.156897142580001</x:v>
      </x:c>
      <x:c r="F58" s="68" t="n">
        <x:f>F55-F57</x:f>
        <x:v>6.484774297779201</x:v>
      </x:c>
      <x:c r="G58" s="68" t="n">
        <x:f>G55-G57</x:f>
        <x:v>7.785546189192565</x:v>
      </x:c>
      <x:c r="H58" s="68" t="n">
        <x:f>H55-H57</x:f>
        <x:v>9.097061845816519</x:v>
      </x:c>
      <x:c r="I58" s="68" t="n">
        <x:f>I55-I57</x:f>
        <x:v>10.267019697261178</x:v>
      </x:c>
      <x:c r="J58" s="68" t="n">
        <x:f>J55-J57</x:f>
        <x:v>11.459320362829342</x:v>
      </x:c>
      <x:c r="K58" s="68" t="n">
        <x:f>K55-K57</x:f>
        <x:v>12.709554293220712</x:v>
      </x:c>
    </x:row>
    <x:row r="59">
      <x:c r="A59" t="str">
        <x:v>Non-financial capex / revenue</x:v>
      </x:c>
      <x:c r="B59" s="37" t="n">
        <x:v>0.02</x:v>
      </x:c>
      <x:c r="C59" s="37" t="n">
        <x:v>0.02</x:v>
      </x:c>
      <x:c r="D59" s="37" t="n">
        <x:v>0.02</x:v>
      </x:c>
      <x:c r="E59" s="37" t="n">
        <x:v>0.02</x:v>
      </x:c>
      <x:c r="F59" s="37" t="n">
        <x:v>0.02</x:v>
      </x:c>
      <x:c r="G59" s="37" t="n">
        <x:v>0.02</x:v>
      </x:c>
      <x:c r="H59" s="37" t="n">
        <x:v>0.02</x:v>
      </x:c>
      <x:c r="I59" s="37" t="n">
        <x:v>0.02</x:v>
      </x:c>
      <x:c r="J59" s="37" t="n">
        <x:v>0.02</x:v>
      </x:c>
      <x:c r="K59" s="37" t="n">
        <x:v>0.02</x:v>
      </x:c>
    </x:row>
    <x:row r="60">
      <x:c r="A60" t="str">
        <x:v>Non-financial capex ($bn)</x:v>
      </x:c>
      <x:c r="B60" s="36" t="n">
        <x:f>B50*B59</x:f>
        <x:v>0.599</x:v>
      </x:c>
      <x:c r="C60" s="68" t="n">
        <x:f>C50*C59</x:f>
        <x:v>0.73418</x:v>
      </x:c>
      <x:c r="D60" s="68" t="n">
        <x:f>D50*D59</x:f>
        <x:v>0.8724608</x:v>
      </x:c>
      <x:c r="E60" s="68" t="n">
        <x:f>E50*E59</x:f>
        <x:v>1.0120701439999997</x:v>
      </x:c>
      <x:c r="F60" s="68" t="n">
        <x:f>F50*F59</x:f>
        <x:v>1.1516769704799998</x:v>
      </x:c>
      <x:c r="G60" s="68" t="n">
        <x:f>G50*G59</x:f>
        <x:v>1.2868402013976001</x:v>
      </x:c>
      <x:c r="H60" s="68" t="n">
        <x:f>H50*H59</x:f>
        <x:v>1.423670707576032</x:v>
      </x:c>
      <x:c r="I60" s="68" t="n">
        <x:f>I50*I59</x:f>
        <x:v>1.558017068188265</x:v>
      </x:c>
      <x:c r="J60" s="68" t="n">
        <x:f>J50*J59</x:f>
        <x:v>1.686985822394007</x:v>
      </x:c>
      <x:c r="K60" s="68" t="n">
        <x:f>K50*K59</x:f>
        <x:v>1.8101203457039643</x:v>
      </x:c>
    </x:row>
    <x:row r="61">
      <x:c r="A61" t="str">
        <x:v>Monee on-book loan proxy ($bn)</x:v>
      </x:c>
      <x:c r="B61" s="78" t="n">
        <x:v>12</x:v>
      </x:c>
      <x:c r="C61" s="68" t="n">
        <x:f>B61*(1+0.3)</x:f>
        <x:v>15.600000000000001</x:v>
      </x:c>
      <x:c r="D61" s="68" t="n">
        <x:f>C61*(1+0.25)</x:f>
        <x:v>19.5</x:v>
      </x:c>
      <x:c r="E61" s="68" t="n">
        <x:f>D61*(1+0.2)</x:f>
        <x:v>23.4</x:v>
      </x:c>
      <x:c r="F61" s="68" t="n">
        <x:f>E61*(1+0.17)</x:f>
        <x:v>27.377999999999997</x:v>
      </x:c>
      <x:c r="G61" s="68" t="n">
        <x:f>F61*(1+0.15)</x:f>
        <x:v>31.484699999999993</x:v>
      </x:c>
      <x:c r="H61" s="68" t="n">
        <x:f>G61*(1+0.13)</x:f>
        <x:v>35.57771099999999</x:v>
      </x:c>
      <x:c r="I61" s="68" t="n">
        <x:f>H61*(1+0.11)</x:f>
        <x:v>39.49125920999999</x:v>
      </x:c>
      <x:c r="J61" s="68" t="n">
        <x:f>I61*(1+0.1)</x:f>
        <x:v>43.44038513099999</x:v>
      </x:c>
      <x:c r="K61" s="68" t="n">
        <x:f>J61*(1+0.09)</x:f>
        <x:v>47.35001979278999</x:v>
      </x:c>
    </x:row>
    <x:row r="62">
      <x:c r="A62" t="str">
        <x:v>Monee equity capital charge ($bn)</x:v>
      </x:c>
      <x:c r="B62" s="36" t="n">
        <x:f>MAX(B61-8.8,0)*10%</x:f>
        <x:v>0.31999999999999995</x:v>
      </x:c>
      <x:c r="C62" s="68" t="n">
        <x:f>MAX(C61-B61,0)*10%</x:f>
        <x:v>0.36000000000000015</x:v>
      </x:c>
      <x:c r="D62" s="68" t="n">
        <x:f>MAX(D61-C61,0)*10%</x:f>
        <x:v>0.3899999999999999</x:v>
      </x:c>
      <x:c r="E62" s="68" t="n">
        <x:f>MAX(E61-D61,0)*10%</x:f>
        <x:v>0.3899999999999999</x:v>
      </x:c>
      <x:c r="F62" s="68" t="n">
        <x:f>MAX(F61-E61,0)*10%</x:f>
        <x:v>0.3977999999999998</x:v>
      </x:c>
      <x:c r="G62" s="68" t="n">
        <x:f>MAX(G61-F61,0)*10%</x:f>
        <x:v>0.41066999999999965</x:v>
      </x:c>
      <x:c r="H62" s="68" t="n">
        <x:f>MAX(H61-G61,0)*10%</x:f>
        <x:v>0.40930109999999936</x:v>
      </x:c>
      <x:c r="I62" s="68" t="n">
        <x:f>MAX(I61-H61,0)*10%</x:f>
        <x:v>0.3913548210000002</x:v>
      </x:c>
      <x:c r="J62" s="68" t="n">
        <x:f>MAX(J61-I61,0)*10%</x:f>
        <x:v>0.3949125921000004</x:v>
      </x:c>
      <x:c r="K62" s="68" t="n">
        <x:f>MAX(K61-J61,0)*10%</x:f>
        <x:v>0.39096346617900013</x:v>
      </x:c>
    </x:row>
    <x:row r="63">
      <x:c r="A63" t="str">
        <x:v>Normalized FCFF ($bn)</x:v>
      </x:c>
      <x:c r="B63" s="28" t="n">
        <x:f>B58+B54-B60-B62</x:f>
        <x:v>2.366496</x:v>
      </x:c>
      <x:c r="C63" s="68" t="n">
        <x:f>C58+C54-C60-C62</x:f>
        <x:v>3.2730375999999994</x:v>
      </x:c>
      <x:c r="D63" s="68" t="n">
        <x:f>D58+D54-D60-D62</x:f>
        <x:v>4.453358828000001</x:v>
      </x:c>
      <x:c r="E63" s="68" t="n">
        <x:f>E58+E54-E60-E62</x:f>
        <x:v>5.77896728658</x:v>
      </x:c>
      <x:c r="F63" s="68" t="n">
        <x:f>F58+F54-F60-F62</x:f>
        <x:v>7.2386512682592015</x:v>
      </x:c>
      <x:c r="G63" s="68" t="n">
        <x:f>G58+G54-G60-G62</x:f>
        <x:v>8.661716390590165</x:v>
      </x:c>
      <x:c r="H63" s="68" t="n">
        <x:f>H58+H54-H60-H62</x:f>
        <x:v>10.111431453392553</x:v>
      </x:c>
      <x:c r="I63" s="68" t="n">
        <x:f>I58+I54-I60-I62</x:f>
        <x:v>11.433681944449443</x:v>
      </x:c>
      <x:c r="J63" s="68" t="n">
        <x:f>J58+J54-J60-J62</x:f>
        <x:v>12.751393593123348</x:v>
      </x:c>
      <x:c r="K63" s="68" t="n">
        <x:f>K58+K54-K60-K62</x:f>
        <x:v>14.128711172745676</x:v>
      </x:c>
    </x:row>
    <x:row r="64">
      <x:c r="A64"/>
      <x:c r="B64" s="37"/>
      <x:c r="C64" s="70"/>
      <x:c r="D64" s="70"/>
      <x:c r="E64" s="70"/>
      <x:c r="F64" s="70"/>
      <x:c r="G64" s="70"/>
      <x:c r="H64" s="70"/>
      <x:c r="I64" s="70"/>
      <x:c r="J64" s="70"/>
      <x:c r="K64" s="70"/>
    </x:row>
    <x:row r="65">
      <x:c r="A65" s="63" t="str">
        <x:v>Bull Scenario</x:v>
      </x:c>
      <x:c r="B65" s="74" t="str">
        <x:v>Bull Scenario</x:v>
      </x:c>
      <x:c r="C65" s="74" t="str">
        <x:v>Bull Scenario</x:v>
      </x:c>
      <x:c r="D65" s="74" t="str">
        <x:v>Bull Scenario</x:v>
      </x:c>
      <x:c r="E65" s="74" t="str">
        <x:v>Bull Scenario</x:v>
      </x:c>
      <x:c r="F65" s="74" t="str">
        <x:v>Bull Scenario</x:v>
      </x:c>
      <x:c r="G65" s="74" t="str">
        <x:v>Bull Scenario</x:v>
      </x:c>
      <x:c r="H65" s="74" t="str">
        <x:v>Bull Scenario</x:v>
      </x:c>
      <x:c r="I65" s="74" t="str">
        <x:v>Bull Scenario</x:v>
      </x:c>
      <x:c r="J65" s="74" t="str">
        <x:v>Bull Scenario</x:v>
      </x:c>
      <x:c r="K65" s="74" t="str">
        <x:v>Bull Scenario</x:v>
      </x:c>
    </x:row>
    <x:row r="66">
      <x:c r="A66" t="str">
        <x:v>Shopee revenue ($bn)</x:v>
      </x:c>
      <x:c r="B66" s="36" t="n">
        <x:v>22.3</x:v>
      </x:c>
      <x:c r="C66" s="68" t="n">
        <x:f>B66*(1+0.25)</x:f>
        <x:v>27.875</x:v>
      </x:c>
      <x:c r="D66" s="68" t="n">
        <x:f>C66*(1+0.21)</x:f>
        <x:v>33.72875</x:v>
      </x:c>
      <x:c r="E66" s="68" t="n">
        <x:f>D66*(1+0.18)</x:f>
        <x:v>39.799924999999995</x:v>
      </x:c>
      <x:c r="F66" s="68" t="n">
        <x:f>E66*(1+0.15)</x:f>
        <x:v>45.76991374999999</x:v>
      </x:c>
      <x:c r="G66" s="68" t="n">
        <x:f>F66*(1+0.13)</x:f>
        <x:v>51.72000253749999</x:v>
      </x:c>
      <x:c r="H66" s="68" t="n">
        <x:f>G66*(1+0.11)</x:f>
        <x:v>57.40920281662499</x:v>
      </x:c>
      <x:c r="I66" s="68" t="n">
        <x:f>H66*(1+0.1)</x:f>
        <x:v>63.150123098287494</x:v>
      </x:c>
      <x:c r="J66" s="68" t="n">
        <x:f>I66*(1+0.09)</x:f>
        <x:v>68.83363417713338</x:v>
      </x:c>
      <x:c r="K66" s="68" t="n">
        <x:f>J66*(1+0.08)</x:f>
        <x:v>74.34032491130405</x:v>
      </x:c>
    </x:row>
    <x:row r="67">
      <x:c r="A67" t="str">
        <x:v>Shopee revenue growth</x:v>
      </x:c>
      <x:c r="B67" s="30"/>
      <x:c r="C67" s="70" t="n">
        <x:f>C66/B66-1</x:f>
        <x:v>0.25</x:v>
      </x:c>
      <x:c r="D67" s="70" t="n">
        <x:f>D66/C66-1</x:f>
        <x:v>0.20999999999999996</x:v>
      </x:c>
      <x:c r="E67" s="70" t="n">
        <x:f>E66/D66-1</x:f>
        <x:v>0.17999999999999994</x:v>
      </x:c>
      <x:c r="F67" s="70" t="n">
        <x:f>F66/E66-1</x:f>
        <x:v>0.1499999999999999</x:v>
      </x:c>
      <x:c r="G67" s="70" t="n">
        <x:f>G66/F66-1</x:f>
        <x:v>0.1299999999999999</x:v>
      </x:c>
      <x:c r="H67" s="70" t="n">
        <x:f>H66/G66-1</x:f>
        <x:v>0.1100000000000001</x:v>
      </x:c>
      <x:c r="I67" s="70" t="n">
        <x:f>I66/H66-1</x:f>
        <x:v>0.10000000000000009</x:v>
      </x:c>
      <x:c r="J67" s="70" t="n">
        <x:f>J66/I66-1</x:f>
        <x:v>0.09000000000000008</x:v>
      </x:c>
      <x:c r="K67" s="70" t="n">
        <x:f>K66/J66-1</x:f>
        <x:v>0.08000000000000007</x:v>
      </x:c>
    </x:row>
    <x:row r="68">
      <x:c r="A68" t="str">
        <x:v>Shopee adj. EBITDA margin</x:v>
      </x:c>
      <x:c r="B68" s="37" t="n">
        <x:v>0.045</x:v>
      </x:c>
      <x:c r="C68" s="37" t="n">
        <x:v>0.065</x:v>
      </x:c>
      <x:c r="D68" s="37" t="n">
        <x:v>0.085</x:v>
      </x:c>
      <x:c r="E68" s="37" t="n">
        <x:v>0.105</x:v>
      </x:c>
      <x:c r="F68" s="37" t="n">
        <x:v>0.12</x:v>
      </x:c>
      <x:c r="G68" s="37" t="n">
        <x:v>0.13</x:v>
      </x:c>
      <x:c r="H68" s="37" t="n">
        <x:v>0.14</x:v>
      </x:c>
      <x:c r="I68" s="37" t="n">
        <x:v>0.145</x:v>
      </x:c>
      <x:c r="J68" s="37" t="n">
        <x:v>0.15</x:v>
      </x:c>
      <x:c r="K68" s="37" t="n">
        <x:v>0.155</x:v>
      </x:c>
    </x:row>
    <x:row r="69">
      <x:c r="A69" t="str">
        <x:v>Shopee adj. EBITDA ($bn)</x:v>
      </x:c>
      <x:c r="B69" s="28" t="n">
        <x:f>B66*B68</x:f>
        <x:v>1.0035</x:v>
      </x:c>
      <x:c r="C69" s="68" t="n">
        <x:f>C66*C68</x:f>
        <x:v>1.8118750000000001</x:v>
      </x:c>
      <x:c r="D69" s="68" t="n">
        <x:f>D66*D68</x:f>
        <x:v>2.86694375</x:v>
      </x:c>
      <x:c r="E69" s="68" t="n">
        <x:f>E66*E68</x:f>
        <x:v>4.178992125</x:v>
      </x:c>
      <x:c r="F69" s="68" t="n">
        <x:f>F66*F68</x:f>
        <x:v>5.492389649999999</x:v>
      </x:c>
      <x:c r="G69" s="68" t="n">
        <x:f>G66*G68</x:f>
        <x:v>6.723600329874999</x:v>
      </x:c>
      <x:c r="H69" s="68" t="n">
        <x:f>H66*H68</x:f>
        <x:v>8.037288394327499</x:v>
      </x:c>
      <x:c r="I69" s="68" t="n">
        <x:f>I66*I68</x:f>
        <x:v>9.156767849251686</x:v>
      </x:c>
      <x:c r="J69" s="68" t="n">
        <x:f>J66*J68</x:f>
        <x:v>10.325045126570005</x:v>
      </x:c>
      <x:c r="K69" s="68" t="n">
        <x:f>K66*K68</x:f>
        <x:v>11.522750361252127</x:v>
      </x:c>
    </x:row>
    <x:row r="70">
      <x:c r="A70" t="str">
        <x:v>Monee revenue ($bn)</x:v>
      </x:c>
      <x:c r="B70" s="36" t="n">
        <x:v>5.8</x:v>
      </x:c>
      <x:c r="C70" s="68" t="n">
        <x:f>B70*(1+0.45)</x:f>
        <x:v>8.41</x:v>
      </x:c>
      <x:c r="D70" s="68" t="n">
        <x:f>C70*(1+0.35)</x:f>
        <x:v>11.3535</x:v>
      </x:c>
      <x:c r="E70" s="68" t="n">
        <x:f>D70*(1+0.3)</x:f>
        <x:v>14.75955</x:v>
      </x:c>
      <x:c r="F70" s="68" t="n">
        <x:f>E70*(1+0.25)</x:f>
        <x:v>18.449437500000002</x:v>
      </x:c>
      <x:c r="G70" s="68" t="n">
        <x:f>F70*(1+0.21)</x:f>
        <x:v>22.323819375000003</x:v>
      </x:c>
      <x:c r="H70" s="68" t="n">
        <x:f>G70*(1+0.18)</x:f>
        <x:v>26.342106862500003</x:v>
      </x:c>
      <x:c r="I70" s="68" t="n">
        <x:f>H70*(1+0.15)</x:f>
        <x:v>30.293422891875</x:v>
      </x:c>
      <x:c r="J70" s="68" t="n">
        <x:f>I70*(1+0.13)</x:f>
        <x:v>34.23156786781875</x:v>
      </x:c>
      <x:c r="K70" s="68" t="n">
        <x:f>J70*(1+0.11)</x:f>
        <x:v>37.99704033327881</x:v>
      </x:c>
    </x:row>
    <x:row r="71">
      <x:c r="A71" t="str">
        <x:v>Monee revenue growth</x:v>
      </x:c>
      <x:c r="B71" s="37"/>
      <x:c r="C71" s="70" t="n">
        <x:f>C70/B70-1</x:f>
        <x:v>0.4500000000000002</x:v>
      </x:c>
      <x:c r="D71" s="70" t="n">
        <x:f>D70/C70-1</x:f>
        <x:v>0.3500000000000001</x:v>
      </x:c>
      <x:c r="E71" s="70" t="n">
        <x:f>E70/D70-1</x:f>
        <x:v>0.30000000000000004</x:v>
      </x:c>
      <x:c r="F71" s="70" t="n">
        <x:f>F70/E70-1</x:f>
        <x:v>0.25</x:v>
      </x:c>
      <x:c r="G71" s="70" t="n">
        <x:f>G70/F70-1</x:f>
        <x:v>0.20999999999999996</x:v>
      </x:c>
      <x:c r="H71" s="70" t="n">
        <x:f>H70/G70-1</x:f>
        <x:v>0.17999999999999994</x:v>
      </x:c>
      <x:c r="I71" s="70" t="n">
        <x:f>I70/H70-1</x:f>
        <x:v>0.1499999999999999</x:v>
      </x:c>
      <x:c r="J71" s="70" t="n">
        <x:f>J70/I70-1</x:f>
        <x:v>0.1299999999999999</x:v>
      </x:c>
      <x:c r="K71" s="70" t="n">
        <x:f>K70/J70-1</x:f>
        <x:v>0.1100000000000001</x:v>
      </x:c>
    </x:row>
    <x:row r="72">
      <x:c r="A72" t="str">
        <x:v>Monee adj. EBITDA margin</x:v>
      </x:c>
      <x:c r="B72" s="37" t="n">
        <x:v>0.24</x:v>
      </x:c>
      <x:c r="C72" s="37" t="n">
        <x:v>0.28</x:v>
      </x:c>
      <x:c r="D72" s="37" t="n">
        <x:v>0.32</x:v>
      </x:c>
      <x:c r="E72" s="37" t="n">
        <x:v>0.35</x:v>
      </x:c>
      <x:c r="F72" s="37" t="n">
        <x:v>0.38</x:v>
      </x:c>
      <x:c r="G72" s="37" t="n">
        <x:v>0.4</x:v>
      </x:c>
      <x:c r="H72" s="37" t="n">
        <x:v>0.41</x:v>
      </x:c>
      <x:c r="I72" s="37" t="n">
        <x:v>0.42</x:v>
      </x:c>
      <x:c r="J72" s="37" t="n">
        <x:v>0.43</x:v>
      </x:c>
      <x:c r="K72" s="37" t="n">
        <x:v>0.44</x:v>
      </x:c>
    </x:row>
    <x:row r="73">
      <x:c r="A73" t="str">
        <x:v>Monee adj. EBITDA ($bn)</x:v>
      </x:c>
      <x:c r="B73" s="28" t="n">
        <x:f>B70*B72</x:f>
        <x:v>1.392</x:v>
      </x:c>
      <x:c r="C73" s="68" t="n">
        <x:f>C70*C72</x:f>
        <x:v>2.3548000000000004</x:v>
      </x:c>
      <x:c r="D73" s="68" t="n">
        <x:f>D70*D72</x:f>
        <x:v>3.6331200000000003</x:v>
      </x:c>
      <x:c r="E73" s="68" t="n">
        <x:f>E70*E72</x:f>
        <x:v>5.1658425</x:v>
      </x:c>
      <x:c r="F73" s="68" t="n">
        <x:f>F70*F72</x:f>
        <x:v>7.010786250000001</x:v>
      </x:c>
      <x:c r="G73" s="68" t="n">
        <x:f>G70*G72</x:f>
        <x:v>8.929527750000002</x:v>
      </x:c>
      <x:c r="H73" s="68" t="n">
        <x:f>H70*H72</x:f>
        <x:v>10.800263813625001</x:v>
      </x:c>
      <x:c r="I73" s="68" t="n">
        <x:f>I70*I72</x:f>
        <x:v>12.7232376145875</x:v>
      </x:c>
      <x:c r="J73" s="68" t="n">
        <x:f>J70*J72</x:f>
        <x:v>14.719574183162061</x:v>
      </x:c>
      <x:c r="K73" s="68" t="n">
        <x:f>K70*K72</x:f>
        <x:v>16.718697746642675</x:v>
      </x:c>
    </x:row>
    <x:row r="74">
      <x:c r="A74" t="str">
        <x:v>Garena revenue ($bn)</x:v>
      </x:c>
      <x:c r="B74" s="36" t="n">
        <x:v>3</x:v>
      </x:c>
      <x:c r="C74" s="68" t="n">
        <x:f>B74*(1+0.22)</x:f>
        <x:v>3.66</x:v>
      </x:c>
      <x:c r="D74" s="68" t="n">
        <x:f>C74*(1+0.15)</x:f>
        <x:v>4.209</x:v>
      </x:c>
      <x:c r="E74" s="68" t="n">
        <x:f>D74*(1+0.12)</x:f>
        <x:v>4.71408</x:v>
      </x:c>
      <x:c r="F74" s="68" t="n">
        <x:f>E74*(1+0.1)</x:f>
        <x:v>5.185488</x:v>
      </x:c>
      <x:c r="G74" s="68" t="n">
        <x:f>F74*(1+0.08)</x:f>
        <x:v>5.600327040000001</x:v>
      </x:c>
      <x:c r="H74" s="68" t="n">
        <x:f>G74*(1+0.07)</x:f>
        <x:v>5.992349932800001</x:v>
      </x:c>
      <x:c r="I74" s="68" t="n">
        <x:f>H74*(1+0.06)</x:f>
        <x:v>6.351890928768001</x:v>
      </x:c>
      <x:c r="J74" s="68" t="n">
        <x:f>I74*(1+0.05)</x:f>
        <x:v>6.669485475206401</x:v>
      </x:c>
      <x:c r="K74" s="68" t="n">
        <x:f>J74*(1+0.05)</x:f>
        <x:v>7.002959748966721</x:v>
      </x:c>
    </x:row>
    <x:row r="75">
      <x:c r="A75" t="str">
        <x:v>Garena revenue growth</x:v>
      </x:c>
      <x:c r="B75" s="37"/>
      <x:c r="C75" s="70" t="n">
        <x:f>C74/B74-1</x:f>
        <x:v>0.21999999999999997</x:v>
      </x:c>
      <x:c r="D75" s="70" t="n">
        <x:f>D74/C74-1</x:f>
        <x:v>0.1499999999999999</x:v>
      </x:c>
      <x:c r="E75" s="70" t="n">
        <x:f>E74/D74-1</x:f>
        <x:v>0.1200000000000001</x:v>
      </x:c>
      <x:c r="F75" s="70" t="n">
        <x:f>F74/E74-1</x:f>
        <x:v>0.10000000000000009</x:v>
      </x:c>
      <x:c r="G75" s="70" t="n">
        <x:f>G74/F74-1</x:f>
        <x:v>0.08000000000000007</x:v>
      </x:c>
      <x:c r="H75" s="70" t="n">
        <x:f>H74/G74-1</x:f>
        <x:v>0.07000000000000006</x:v>
      </x:c>
      <x:c r="I75" s="70" t="n">
        <x:f>I74/H74-1</x:f>
        <x:v>0.06000000000000005</x:v>
      </x:c>
      <x:c r="J75" s="70" t="n">
        <x:f>J74/I74-1</x:f>
        <x:v>0.050000000000000044</x:v>
      </x:c>
      <x:c r="K75" s="70" t="n">
        <x:f>K74/J74-1</x:f>
        <x:v>0.050000000000000044</x:v>
      </x:c>
    </x:row>
    <x:row r="76">
      <x:c r="A76" t="str">
        <x:v>Garena adj. EBITDA margin</x:v>
      </x:c>
      <x:c r="B76" s="37" t="n">
        <x:v>0.72</x:v>
      </x:c>
      <x:c r="C76" s="37" t="n">
        <x:v>0.72</x:v>
      </x:c>
      <x:c r="D76" s="37" t="n">
        <x:v>0.71</x:v>
      </x:c>
      <x:c r="E76" s="37" t="n">
        <x:v>0.7</x:v>
      </x:c>
      <x:c r="F76" s="37" t="n">
        <x:v>0.69</x:v>
      </x:c>
      <x:c r="G76" s="37" t="n">
        <x:v>0.68</x:v>
      </x:c>
      <x:c r="H76" s="37" t="n">
        <x:v>0.67</x:v>
      </x:c>
      <x:c r="I76" s="37" t="n">
        <x:v>0.66</x:v>
      </x:c>
      <x:c r="J76" s="37" t="n">
        <x:v>0.65</x:v>
      </x:c>
      <x:c r="K76" s="37" t="n">
        <x:v>0.65</x:v>
      </x:c>
    </x:row>
    <x:row r="77">
      <x:c r="A77" t="str">
        <x:v>Garena adj. EBITDA ($bn)</x:v>
      </x:c>
      <x:c r="B77" s="28" t="n">
        <x:f>B74*B76</x:f>
        <x:v>2.16</x:v>
      </x:c>
      <x:c r="C77" s="68" t="n">
        <x:f>C74*C76</x:f>
        <x:v>2.6352</x:v>
      </x:c>
      <x:c r="D77" s="68" t="n">
        <x:f>D74*D76</x:f>
        <x:v>2.9883899999999994</x:v>
      </x:c>
      <x:c r="E77" s="68" t="n">
        <x:f>E74*E76</x:f>
        <x:v>3.2998559999999997</x:v>
      </x:c>
      <x:c r="F77" s="68" t="n">
        <x:f>F74*F76</x:f>
        <x:v>3.5779867199999997</x:v>
      </x:c>
      <x:c r="G77" s="68" t="n">
        <x:f>G74*G76</x:f>
        <x:v>3.8082223872000007</x:v>
      </x:c>
      <x:c r="H77" s="68" t="n">
        <x:f>H74*H76</x:f>
        <x:v>4.014874454976001</x:v>
      </x:c>
      <x:c r="I77" s="68" t="n">
        <x:f>I74*I76</x:f>
        <x:v>4.192248012986881</x:v>
      </x:c>
      <x:c r="J77" s="68" t="n">
        <x:f>J74*J76</x:f>
        <x:v>4.335165558884161</x:v>
      </x:c>
      <x:c r="K77" s="68" t="n">
        <x:f>K74*K76</x:f>
        <x:v>4.551923836828369</x:v>
      </x:c>
    </x:row>
    <x:row r="78">
      <x:c r="A78" t="str">
        <x:v>Other revenue ($bn)</x:v>
      </x:c>
      <x:c r="B78" s="36" t="n">
        <x:v>0.2</x:v>
      </x:c>
      <x:c r="C78" s="36" t="n">
        <x:v>0.21600000000000003</x:v>
      </x:c>
      <x:c r="D78" s="36" t="n">
        <x:v>0.23328000000000004</x:v>
      </x:c>
      <x:c r="E78" s="36" t="n">
        <x:v>0.25194240000000007</x:v>
      </x:c>
      <x:c r="F78" s="36" t="n">
        <x:v>0.27209779200000006</x:v>
      </x:c>
      <x:c r="G78" s="36" t="n">
        <x:v>0.2938656153600001</x:v>
      </x:c>
      <x:c r="H78" s="36" t="n">
        <x:v>0.31737486458880015</x:v>
      </x:c>
      <x:c r="I78" s="36" t="n">
        <x:v>0.3427648537559042</x:v>
      </x:c>
      <x:c r="J78" s="36" t="n">
        <x:v>0.3701860420563765</x:v>
      </x:c>
      <x:c r="K78" s="36" t="n">
        <x:v>0.3998009254208867</x:v>
      </x:c>
    </x:row>
    <x:row r="79">
      <x:c r="A79" t="str">
        <x:v>Corporate / other EBITDA drag ($bn)</x:v>
      </x:c>
      <x:c r="B79" s="36" t="n">
        <x:v>0.18</x:v>
      </x:c>
      <x:c r="C79" s="36" t="n">
        <x:v>0.22</x:v>
      </x:c>
      <x:c r="D79" s="36" t="n">
        <x:v>0.28</x:v>
      </x:c>
      <x:c r="E79" s="36" t="n">
        <x:v>0.32</x:v>
      </x:c>
      <x:c r="F79" s="36" t="n">
        <x:v>0.36</x:v>
      </x:c>
      <x:c r="G79" s="36" t="n">
        <x:v>0.4</x:v>
      </x:c>
      <x:c r="H79" s="36" t="n">
        <x:v>0.44</x:v>
      </x:c>
      <x:c r="I79" s="36" t="n">
        <x:v>0.48</x:v>
      </x:c>
      <x:c r="J79" s="36" t="n">
        <x:v>0.52</x:v>
      </x:c>
      <x:c r="K79" s="36" t="n">
        <x:v>0.56</x:v>
      </x:c>
    </x:row>
    <x:row r="80">
      <x:c r="A80" t="str">
        <x:v>Group revenue ($bn)</x:v>
      </x:c>
      <x:c r="B80" s="28" t="n">
        <x:f>B66+B70+B74+B78</x:f>
        <x:v>31.3</x:v>
      </x:c>
      <x:c r="C80" s="68" t="n">
        <x:f>C66+C70+C74+C78</x:f>
        <x:v>40.160999999999994</x:v>
      </x:c>
      <x:c r="D80" s="68" t="n">
        <x:f>D66+D70+D74+D78</x:f>
        <x:v>49.524530000000006</x:v>
      </x:c>
      <x:c r="E80" s="68" t="n">
        <x:f>E66+E70+E74+E78</x:f>
        <x:v>59.52549739999999</x:v>
      </x:c>
      <x:c r="F80" s="68" t="n">
        <x:f>F66+F70+F74+F78</x:f>
        <x:v>69.67693704199999</x:v>
      </x:c>
      <x:c r="G80" s="68" t="n">
        <x:f>G66+G70+G74+G78</x:f>
        <x:v>79.93801456786</x:v>
      </x:c>
      <x:c r="H80" s="68" t="n">
        <x:f>H66+H70+H74+H78</x:f>
        <x:v>90.0610344765138</x:v>
      </x:c>
      <x:c r="I80" s="68" t="n">
        <x:f>I66+I70+I74+I78</x:f>
        <x:v>100.1382017726864</x:v>
      </x:c>
      <x:c r="J80" s="68" t="n">
        <x:f>J66+J70+J74+J78</x:f>
        <x:v>110.10487356221489</x:v>
      </x:c>
      <x:c r="K80" s="68" t="n">
        <x:f>K66+K70+K74+K78</x:f>
        <x:v>119.74012591897046</x:v>
      </x:c>
    </x:row>
    <x:row r="81">
      <x:c r="A81" t="str">
        <x:v>Group adjusted EBITDA ($bn)</x:v>
      </x:c>
      <x:c r="B81" s="36" t="n">
        <x:f>B69+B73+B77-B79</x:f>
        <x:v>4.375500000000001</x:v>
      </x:c>
      <x:c r="C81" s="68" t="n">
        <x:f>C69+C73+C77-C79</x:f>
        <x:v>6.581875000000001</x:v>
      </x:c>
      <x:c r="D81" s="68" t="n">
        <x:f>D69+D73+D77-D79</x:f>
        <x:v>9.20845375</x:v>
      </x:c>
      <x:c r="E81" s="68" t="n">
        <x:f>E69+E73+E77-E79</x:f>
        <x:v>12.324690625</x:v>
      </x:c>
      <x:c r="F81" s="68" t="n">
        <x:f>F69+F73+F77-F79</x:f>
        <x:v>15.721162619999998</x:v>
      </x:c>
      <x:c r="G81" s="68" t="n">
        <x:f>G69+G73+G77-G79</x:f>
        <x:v>19.061350467075002</x:v>
      </x:c>
      <x:c r="H81" s="68" t="n">
        <x:f>H69+H73+H77-H79</x:f>
        <x:v>22.4124266629285</x:v>
      </x:c>
      <x:c r="I81" s="68" t="n">
        <x:f>I69+I73+I77-I79</x:f>
        <x:v>25.592253476826066</x:v>
      </x:c>
      <x:c r="J81" s="68" t="n">
        <x:f>J69+J73+J77-J79</x:f>
        <x:v>28.859784868616227</x:v>
      </x:c>
      <x:c r="K81" s="68" t="n">
        <x:f>K69+K73+K77-K79</x:f>
        <x:v>32.233371944723174</x:v>
      </x:c>
    </x:row>
    <x:row r="82">
      <x:c r="A82" t="str">
        <x:v>Group EBITDA margin</x:v>
      </x:c>
      <x:c r="B82" s="30" t="n">
        <x:f>B81/B80</x:f>
        <x:v>0.13979233226837062</x:v>
      </x:c>
      <x:c r="C82" s="70" t="n">
        <x:f>C81/C80</x:f>
        <x:v>0.1638872289036628</x:v>
      </x:c>
      <x:c r="D82" s="70" t="n">
        <x:f>D81/D80</x:f>
        <x:v>0.18593722646131117</x:v>
      </x:c>
      <x:c r="E82" s="70" t="n">
        <x:f>E81/E80</x:f>
        <x:v>0.2070489313542469</x:v>
      </x:c>
      <x:c r="F82" s="70" t="n">
        <x:f>F81/F80</x:f>
        <x:v>0.22562935868612546</x:v>
      </x:c>
      <x:c r="G82" s="70" t="n">
        <x:f>G81/G80</x:f>
        <x:v>0.23845163743582443</x:v>
      </x:c>
      <x:c r="H82" s="70" t="n">
        <x:f>H81/H80</x:f>
        <x:v>0.24885819703495893</x:v>
      </x:c>
      <x:c r="I82" s="70" t="n">
        <x:f>I81/I80</x:f>
        <x:v>0.25556933341903276</x:v>
      </x:c>
      <x:c r="J82" s="70" t="n">
        <x:f>J81/J80</x:f>
        <x:v>0.2621117842918095</x:v>
      </x:c>
      <x:c r="K82" s="70" t="n">
        <x:f>K81/K80</x:f>
        <x:v>0.26919440494438657</x:v>
      </x:c>
    </x:row>
    <x:row r="83">
      <x:c r="A83" t="str">
        <x:v>D&amp;A / revenue</x:v>
      </x:c>
      <x:c r="B83" s="37" t="n">
        <x:v>0.04</x:v>
      </x:c>
      <x:c r="C83" s="37" t="n">
        <x:v>0.04</x:v>
      </x:c>
      <x:c r="D83" s="37" t="n">
        <x:v>0.04</x:v>
      </x:c>
      <x:c r="E83" s="37" t="n">
        <x:v>0.04</x:v>
      </x:c>
      <x:c r="F83" s="37" t="n">
        <x:v>0.04</x:v>
      </x:c>
      <x:c r="G83" s="37" t="n">
        <x:v>0.04</x:v>
      </x:c>
      <x:c r="H83" s="37" t="n">
        <x:v>0.04</x:v>
      </x:c>
      <x:c r="I83" s="37" t="n">
        <x:v>0.04</x:v>
      </x:c>
      <x:c r="J83" s="37" t="n">
        <x:v>0.04</x:v>
      </x:c>
      <x:c r="K83" s="37" t="n">
        <x:v>0.04</x:v>
      </x:c>
    </x:row>
    <x:row r="84">
      <x:c r="A84" t="str">
        <x:v>D&amp;A ($bn)</x:v>
      </x:c>
      <x:c r="B84" s="28" t="n">
        <x:f>B80*B83</x:f>
        <x:v>1.252</x:v>
      </x:c>
      <x:c r="C84" s="68" t="n">
        <x:f>C80*C83</x:f>
        <x:v>1.6064399999999999</x:v>
      </x:c>
      <x:c r="D84" s="68" t="n">
        <x:f>D80*D83</x:f>
        <x:v>1.9809812000000002</x:v>
      </x:c>
      <x:c r="E84" s="68" t="n">
        <x:f>E80*E83</x:f>
        <x:v>2.3810198959999997</x:v>
      </x:c>
      <x:c r="F84" s="68" t="n">
        <x:f>F80*F83</x:f>
        <x:v>2.78707748168</x:v>
      </x:c>
      <x:c r="G84" s="68" t="n">
        <x:f>G80*G83</x:f>
        <x:v>3.1975205827143998</x:v>
      </x:c>
      <x:c r="H84" s="68" t="n">
        <x:f>H80*H83</x:f>
        <x:v>3.602441379060552</x:v>
      </x:c>
      <x:c r="I84" s="68" t="n">
        <x:f>I80*I83</x:f>
        <x:v>4.005528070907456</x:v>
      </x:c>
      <x:c r="J84" s="68" t="n">
        <x:f>J80*J83</x:f>
        <x:v>4.404194942488596</x:v>
      </x:c>
      <x:c r="K84" s="68" t="n">
        <x:f>K80*K83</x:f>
        <x:v>4.789605036758819</x:v>
      </x:c>
    </x:row>
    <x:row r="85">
      <x:c r="A85" t="str">
        <x:v>EBIT ($bn)</x:v>
      </x:c>
      <x:c r="B85" s="28" t="n">
        <x:f>B81-B84</x:f>
        <x:v>3.123500000000001</x:v>
      </x:c>
      <x:c r="C85" s="68" t="n">
        <x:f>C81-C84</x:f>
        <x:v>4.975435000000001</x:v>
      </x:c>
      <x:c r="D85" s="68" t="n">
        <x:f>D81-D84</x:f>
        <x:v>7.22747255</x:v>
      </x:c>
      <x:c r="E85" s="68" t="n">
        <x:f>E81-E84</x:f>
        <x:v>9.943670729</x:v>
      </x:c>
      <x:c r="F85" s="68" t="n">
        <x:f>F81-F84</x:f>
        <x:v>12.934085138319997</x:v>
      </x:c>
      <x:c r="G85" s="68" t="n">
        <x:f>G81-G84</x:f>
        <x:v>15.863829884360602</x:v>
      </x:c>
      <x:c r="H85" s="68" t="n">
        <x:f>H81-H84</x:f>
        <x:v>18.80998528386795</x:v>
      </x:c>
      <x:c r="I85" s="68" t="n">
        <x:f>I81-I84</x:f>
        <x:v>21.58672540591861</x:v>
      </x:c>
      <x:c r="J85" s="68" t="n">
        <x:f>J81-J84</x:f>
        <x:v>24.45558992612763</x:v>
      </x:c>
      <x:c r="K85" s="68" t="n">
        <x:f>K81-K84</x:f>
        <x:v>27.443766907964356</x:v>
      </x:c>
    </x:row>
    <x:row r="86">
      <x:c r="A86" t="str">
        <x:v>Cash tax rate</x:v>
      </x:c>
      <x:c r="B86" s="37" t="n">
        <x:v>0.21</x:v>
      </x:c>
      <x:c r="C86" s="37" t="n">
        <x:v>0.21</x:v>
      </x:c>
      <x:c r="D86" s="37" t="n">
        <x:v>0.21</x:v>
      </x:c>
      <x:c r="E86" s="37" t="n">
        <x:v>0.21</x:v>
      </x:c>
      <x:c r="F86" s="37" t="n">
        <x:v>0.21</x:v>
      </x:c>
      <x:c r="G86" s="37" t="n">
        <x:v>0.21</x:v>
      </x:c>
      <x:c r="H86" s="37" t="n">
        <x:v>0.21</x:v>
      </x:c>
      <x:c r="I86" s="37" t="n">
        <x:v>0.21</x:v>
      </x:c>
      <x:c r="J86" s="37" t="n">
        <x:v>0.21</x:v>
      </x:c>
      <x:c r="K86" s="37" t="n">
        <x:v>0.21</x:v>
      </x:c>
    </x:row>
    <x:row r="87">
      <x:c r="A87" t="str">
        <x:v>Cash taxes ($bn)</x:v>
      </x:c>
      <x:c r="B87" s="28" t="n">
        <x:f>IF(B85&gt;0,B85*B86,0)</x:f>
        <x:v>0.6559350000000002</x:v>
      </x:c>
      <x:c r="C87" s="28" t="n">
        <x:f>IF(C85&gt;0,C85*C86,0)</x:f>
        <x:v>1.0448413500000002</x:v>
      </x:c>
      <x:c r="D87" s="28" t="n">
        <x:f>IF(D85&gt;0,D85*D86,0)</x:f>
        <x:v>1.5177692354999999</x:v>
      </x:c>
      <x:c r="E87" s="28" t="n">
        <x:f>IF(E85&gt;0,E85*E86,0)</x:f>
        <x:v>2.0881708530900003</x:v>
      </x:c>
      <x:c r="F87" s="28" t="n">
        <x:f>IF(F85&gt;0,F85*F86,0)</x:f>
        <x:v>2.7161578790471994</x:v>
      </x:c>
      <x:c r="G87" s="28" t="n">
        <x:f>IF(G85&gt;0,G85*G86,0)</x:f>
        <x:v>3.3314042757157263</x:v>
      </x:c>
      <x:c r="H87" s="28" t="n">
        <x:f>IF(H85&gt;0,H85*H86,0)</x:f>
        <x:v>3.9500969096122693</x:v>
      </x:c>
      <x:c r="I87" s="28" t="n">
        <x:f>IF(I85&gt;0,I85*I86,0)</x:f>
        <x:v>4.533212335242908</x:v>
      </x:c>
      <x:c r="J87" s="28" t="n">
        <x:f>IF(J85&gt;0,J85*J86,0)</x:f>
        <x:v>5.135673884486802</x:v>
      </x:c>
      <x:c r="K87" s="28" t="n">
        <x:f>IF(K85&gt;0,K85*K86,0)</x:f>
        <x:v>5.763191050672515</x:v>
      </x:c>
    </x:row>
    <x:row r="88">
      <x:c r="A88" t="str">
        <x:v>NOPAT ($bn)</x:v>
      </x:c>
      <x:c r="B88" s="28" t="n">
        <x:f>B85-B87</x:f>
        <x:v>2.4675650000000005</x:v>
      </x:c>
      <x:c r="C88" s="28" t="n">
        <x:f>C85-C87</x:f>
        <x:v>3.9305936500000005</x:v>
      </x:c>
      <x:c r="D88" s="28" t="n">
        <x:f>D85-D87</x:f>
        <x:v>5.7097033145000005</x:v>
      </x:c>
      <x:c r="E88" s="28" t="n">
        <x:f>E85-E87</x:f>
        <x:v>7.8554998759100005</x:v>
      </x:c>
      <x:c r="F88" s="28" t="n">
        <x:f>F85-F87</x:f>
        <x:v>10.217927259272798</x:v>
      </x:c>
      <x:c r="G88" s="28" t="n">
        <x:f>G85-G87</x:f>
        <x:v>12.532425608644875</x:v>
      </x:c>
      <x:c r="H88" s="28" t="n">
        <x:f>H85-H87</x:f>
        <x:v>14.859888374255679</x:v>
      </x:c>
      <x:c r="I88" s="28" t="n">
        <x:f>I85-I87</x:f>
        <x:v>17.053513070675702</x:v>
      </x:c>
      <x:c r="J88" s="28" t="n">
        <x:f>J85-J87</x:f>
        <x:v>19.319916041640827</x:v>
      </x:c>
      <x:c r="K88" s="28" t="n">
        <x:f>K85-K87</x:f>
        <x:v>21.680575857291842</x:v>
      </x:c>
    </x:row>
    <x:row r="89">
      <x:c r="A89" t="str">
        <x:v>Non-financial capex / revenue</x:v>
      </x:c>
      <x:c r="B89" s="37" t="n">
        <x:v>0.02</x:v>
      </x:c>
      <x:c r="C89" s="37" t="n">
        <x:v>0.02</x:v>
      </x:c>
      <x:c r="D89" s="37" t="n">
        <x:v>0.02</x:v>
      </x:c>
      <x:c r="E89" s="37" t="n">
        <x:v>0.02</x:v>
      </x:c>
      <x:c r="F89" s="37" t="n">
        <x:v>0.02</x:v>
      </x:c>
      <x:c r="G89" s="37" t="n">
        <x:v>0.02</x:v>
      </x:c>
      <x:c r="H89" s="37" t="n">
        <x:v>0.02</x:v>
      </x:c>
      <x:c r="I89" s="37" t="n">
        <x:v>0.02</x:v>
      </x:c>
      <x:c r="J89" s="37" t="n">
        <x:v>0.02</x:v>
      </x:c>
      <x:c r="K89" s="37" t="n">
        <x:v>0.02</x:v>
      </x:c>
    </x:row>
    <x:row r="90">
      <x:c r="A90" t="str">
        <x:v>Non-financial capex ($bn)</x:v>
      </x:c>
      <x:c r="B90" s="28" t="n">
        <x:f>B80*B89</x:f>
        <x:v>0.626</x:v>
      </x:c>
      <x:c r="C90" s="28" t="n">
        <x:f>C80*C89</x:f>
        <x:v>0.8032199999999999</x:v>
      </x:c>
      <x:c r="D90" s="28" t="n">
        <x:f>D80*D89</x:f>
        <x:v>0.9904906000000001</x:v>
      </x:c>
      <x:c r="E90" s="28" t="n">
        <x:f>E80*E89</x:f>
        <x:v>1.1905099479999999</x:v>
      </x:c>
      <x:c r="F90" s="28" t="n">
        <x:f>F80*F89</x:f>
        <x:v>1.39353874084</x:v>
      </x:c>
      <x:c r="G90" s="28" t="n">
        <x:f>G80*G89</x:f>
        <x:v>1.5987602913571999</x:v>
      </x:c>
      <x:c r="H90" s="28" t="n">
        <x:f>H80*H89</x:f>
        <x:v>1.801220689530276</x:v>
      </x:c>
      <x:c r="I90" s="28" t="n">
        <x:f>I80*I89</x:f>
        <x:v>2.002764035453728</x:v>
      </x:c>
      <x:c r="J90" s="28" t="n">
        <x:f>J80*J89</x:f>
        <x:v>2.202097471244298</x:v>
      </x:c>
      <x:c r="K90" s="28" t="n">
        <x:f>K80*K89</x:f>
        <x:v>2.3948025183794095</x:v>
      </x:c>
    </x:row>
    <x:row r="91">
      <x:c r="A91" t="str">
        <x:v>Monee on-book loan proxy ($bn)</x:v>
      </x:c>
      <x:c r="B91" s="36" t="n">
        <x:v>13</x:v>
      </x:c>
      <x:c r="C91" s="28" t="n">
        <x:f>B91*(1+0.38)</x:f>
        <x:v>17.939999999999998</x:v>
      </x:c>
      <x:c r="D91" s="28" t="n">
        <x:f>C91*(1+0.32)</x:f>
        <x:v>23.680799999999998</x:v>
      </x:c>
      <x:c r="E91" s="28" t="n">
        <x:f>D91*(1+0.27)</x:f>
        <x:v>30.074616</x:v>
      </x:c>
      <x:c r="F91" s="28" t="n">
        <x:f>E91*(1+0.23)</x:f>
        <x:v>36.99177768</x:v>
      </x:c>
      <x:c r="G91" s="28" t="n">
        <x:f>F91*(1+0.2)</x:f>
        <x:v>44.390133215999995</x:v>
      </x:c>
      <x:c r="H91" s="28" t="n">
        <x:f>G91*(1+0.17)</x:f>
        <x:v>51.93645586271999</x:v>
      </x:c>
      <x:c r="I91" s="28" t="n">
        <x:f>H91*(1+0.15)</x:f>
        <x:v>59.726924242127986</x:v>
      </x:c>
      <x:c r="J91" s="28" t="n">
        <x:f>I91*(1+0.13)</x:f>
        <x:v>67.49142439360462</x:v>
      </x:c>
      <x:c r="K91" s="28" t="n">
        <x:f>J91*(1+0.11)</x:f>
        <x:v>74.91548107690113</x:v>
      </x:c>
    </x:row>
    <x:row r="92">
      <x:c r="A92" t="str">
        <x:v>Monee equity capital charge ($bn)</x:v>
      </x:c>
      <x:c r="B92" s="28" t="n">
        <x:f>MAX(B91-8.8,0)*10%</x:f>
        <x:v>0.41999999999999993</x:v>
      </x:c>
      <x:c r="C92" s="28" t="n">
        <x:f>MAX(C91-B91,0)*10%</x:f>
        <x:v>0.4939999999999998</x:v>
      </x:c>
      <x:c r="D92" s="28" t="n">
        <x:f>MAX(D91-C91,0)*10%</x:f>
        <x:v>0.57408</x:v>
      </x:c>
      <x:c r="E92" s="28" t="n">
        <x:f>MAX(E91-D91,0)*10%</x:f>
        <x:v>0.6393816000000001</x:v>
      </x:c>
      <x:c r="F92" s="28" t="n">
        <x:f>MAX(F91-E91,0)*10%</x:f>
        <x:v>0.691716168</x:v>
      </x:c>
      <x:c r="G92" s="28" t="n">
        <x:f>MAX(G91-F91,0)*10%</x:f>
        <x:v>0.7398355535999998</x:v>
      </x:c>
      <x:c r="H92" s="28" t="n">
        <x:f>MAX(H91-G91,0)*10%</x:f>
        <x:v>0.7546322646719994</x:v>
      </x:c>
      <x:c r="I92" s="28" t="n">
        <x:f>MAX(I91-H91,0)*10%</x:f>
        <x:v>0.7790468379407998</x:v>
      </x:c>
      <x:c r="J92" s="28" t="n">
        <x:f>MAX(J91-I91,0)*10%</x:f>
        <x:v>0.7764500151476632</x:v>
      </x:c>
      <x:c r="K92" s="28" t="n">
        <x:f>MAX(K91-J91,0)*10%</x:f>
        <x:v>0.7424056683296514</x:v>
      </x:c>
    </x:row>
    <x:row r="93">
      <x:c r="A93" t="str">
        <x:v>Normalized FCFF ($bn)</x:v>
      </x:c>
      <x:c r="B93" s="28" t="n">
        <x:f>B88+B84-B90-B92</x:f>
        <x:v>2.6735650000000004</x:v>
      </x:c>
      <x:c r="C93" s="28" t="n">
        <x:f>C88+C84-C90-C92</x:f>
        <x:v>4.239813650000001</x:v>
      </x:c>
      <x:c r="D93" s="28" t="n">
        <x:f>D88+D84-D90-D92</x:f>
        <x:v>6.1261139145</x:v>
      </x:c>
      <x:c r="E93" s="28" t="n">
        <x:f>E88+E84-E90-E92</x:f>
        <x:v>8.406628223910001</x:v>
      </x:c>
      <x:c r="F93" s="28" t="n">
        <x:f>F88+F84-F90-F92</x:f>
        <x:v>10.9197498321128</x:v>
      </x:c>
      <x:c r="G93" s="28" t="n">
        <x:f>G88+G84-G90-G92</x:f>
        <x:v>13.391350346402076</x:v>
      </x:c>
      <x:c r="H93" s="28" t="n">
        <x:f>H88+H84-H90-H92</x:f>
        <x:v>15.906476799113955</x:v>
      </x:c>
      <x:c r="I93" s="28" t="n">
        <x:f>I88+I84-I90-I92</x:f>
        <x:v>18.277230268188628</x:v>
      </x:c>
      <x:c r="J93" s="28" t="n">
        <x:f>J88+J84-J90-J92</x:f>
        <x:v>20.745563497737464</x:v>
      </x:c>
      <x:c r="K93" s="28" t="n">
        <x:f>K88+K84-K90-K92</x:f>
        <x:v>23.332972707341597</x:v>
      </x:c>
    </x:row>
  </x:sheetData>
  <x:mergeCells>
    <x:mergeCell ref="A1:K1"/>
    <x:mergeCell ref="A2:K2"/>
    <x:mergeCell ref="A5:K5"/>
    <x:mergeCell ref="A31:K31"/>
    <x:mergeCell ref="A57:K57"/>
    <x:mergeCell ref="A35:K35"/>
    <x:mergeCell ref="A65:K6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18" hidden="0" customWidth="1"/>
    <x:col min="4" max="4" width="16" hidden="0" customWidth="1"/>
    <x:col min="5" max="5" width="35" hidden="0" customWidth="1"/>
    <x:col min="6" max="6" width="12" hidden="0" customWidth="1"/>
  </x:cols>
  <x:sheetData>
    <x:row r="1" ht="28" customHeight="1">
      <x:c r="A1" s="4" t="str">
        <x:v>Peer Valuation Context</x:v>
      </x:c>
      <x:c r="B1" s="4"/>
      <x:c r="C1" s="4"/>
      <x:c r="D1" s="4"/>
      <x:c r="E1" s="4"/>
      <x:c r="F1" s="4"/>
    </x:row>
    <x:row r="2" ht="28" customHeight="1">
      <x:c r="A2" s="10" t="str">
        <x:v>Peers are context rather than perfect comparables. Shopee is benchmarked primarily to MELI, Monee to NU, Garena to NetEase.</x:v>
      </x:c>
      <x:c r="B2" s="10"/>
      <x:c r="C2" s="10"/>
      <x:c r="D2" s="10"/>
      <x:c r="E2" s="10"/>
      <x:c r="F2" s="10"/>
    </x:row>
    <x:row r="4">
      <x:c r="A4" s="19" t="str">
        <x:v>Peer</x:v>
      </x:c>
      <x:c r="B4" s="19" t="str">
        <x:v>Business reference</x:v>
      </x:c>
      <x:c r="C4" s="19" t="str">
        <x:v>Metric</x:v>
      </x:c>
      <x:c r="D4" s="19" t="str">
        <x:v>Current multiple</x:v>
      </x:c>
      <x:c r="E4" s="19" t="str">
        <x:v>Model use</x:v>
      </x:c>
      <x:c r="F4" s="19" t="str">
        <x:v>Source</x:v>
      </x:c>
    </x:row>
    <x:row r="5">
      <x:c r="A5" t="str">
        <x:v>MercadoLibre</x:v>
      </x:c>
      <x:c r="B5" t="str">
        <x:v>E-commerce + fintech</x:v>
      </x:c>
      <x:c r="C5" t="str">
        <x:v>EV/EBITDA</x:v>
      </x:c>
      <x:c r="D5" s="90" t="n">
        <x:v>25.11</x:v>
      </x:c>
      <x:c r="E5" t="str">
        <x:v>Shopee Base 20x &lt; MELI current</x:v>
      </x:c>
      <x:c r="F5" t="str">
        <x:v>S6</x:v>
      </x:c>
    </x:row>
    <x:row r="6">
      <x:c r="A6" t="str">
        <x:v>MercadoLibre</x:v>
      </x:c>
      <x:c r="B6" t="str">
        <x:v>E-commerce + fintech</x:v>
      </x:c>
      <x:c r="C6" t="str">
        <x:v>Forward P/E</x:v>
      </x:c>
      <x:c r="D6" s="90" t="n">
        <x:v>45.35</x:v>
      </x:c>
      <x:c r="E6" t="str">
        <x:v>Context only</x:v>
      </x:c>
      <x:c r="F6" t="str">
        <x:v>S6</x:v>
      </x:c>
    </x:row>
    <x:row r="7">
      <x:c r="A7" t="str">
        <x:v>Nu Holdings</x:v>
      </x:c>
      <x:c r="B7" t="str">
        <x:v>Digital banking / consumer finance</x:v>
      </x:c>
      <x:c r="C7" t="str">
        <x:v>P/E</x:v>
      </x:c>
      <x:c r="D7" s="90" t="n">
        <x:v>22.4</x:v>
      </x:c>
      <x:c r="E7" t="str">
        <x:v>Monee Base normalized P/E 20x</x:v>
      </x:c>
      <x:c r="F7" t="str">
        <x:v>S7</x:v>
      </x:c>
    </x:row>
    <x:row r="8">
      <x:c r="A8" t="str">
        <x:v>Nu Holdings</x:v>
      </x:c>
      <x:c r="B8" t="str">
        <x:v>Digital banking / consumer finance</x:v>
      </x:c>
      <x:c r="C8" t="str">
        <x:v>Forward P/E</x:v>
      </x:c>
      <x:c r="D8" s="90" t="n">
        <x:v>17.1</x:v>
      </x:c>
      <x:c r="E8" t="str">
        <x:v>Context only</x:v>
      </x:c>
      <x:c r="F8" t="str">
        <x:v>S7</x:v>
      </x:c>
    </x:row>
    <x:row r="9">
      <x:c r="A9" t="str">
        <x:v>NetEase</x:v>
      </x:c>
      <x:c r="B9" t="str">
        <x:v>Online games</x:v>
      </x:c>
      <x:c r="C9" t="str">
        <x:v>EV/EBITDA</x:v>
      </x:c>
      <x:c r="D9" s="90" t="n">
        <x:v>9.91</x:v>
      </x:c>
      <x:c r="E9" t="str">
        <x:v>Garena Base 10x ~ peer</x:v>
      </x:c>
      <x:c r="F9" t="str">
        <x:v>S8</x:v>
      </x:c>
    </x:row>
    <x:row r="10">
      <x:c r="A10" t="str">
        <x:v>Sea Limited</x:v>
      </x:c>
      <x:c r="B10" t="str">
        <x:v>Conglomerate</x:v>
      </x:c>
      <x:c r="C10" t="str">
        <x:v>P/E</x:v>
      </x:c>
      <x:c r="D10" s="90" t="n">
        <x:v>-44</x:v>
      </x:c>
      <x:c r="E10" t="str">
        <x:v>Current whole-company reference</x:v>
      </x:c>
      <x:c r="F10" t="str">
        <x:v>S9</x:v>
      </x:c>
    </x:row>
    <x:row r="11">
      <x:c r="A11" t="str">
        <x:v>Sea Limited</x:v>
      </x:c>
      <x:c r="B11" t="str">
        <x:v>Conglomerate</x:v>
      </x:c>
      <x:c r="C11" t="str">
        <x:v>Forward P/E</x:v>
      </x:c>
      <x:c r="D11" s="90" t="n">
        <x:v>-27</x:v>
      </x:c>
      <x:c r="E11" t="str">
        <x:v>Current whole-company reference</x:v>
      </x:c>
      <x:c r="F11" t="str">
        <x:v>S9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17" hidden="0" customWidth="1"/>
    <x:col min="3" max="3" width="17" hidden="0" customWidth="1"/>
    <x:col min="4" max="4" width="17" hidden="0" customWidth="1"/>
  </x:cols>
  <x:sheetData>
    <x:row r="1" ht="28" customHeight="1">
      <x:c r="A1" s="4" t="str">
        <x:v>2028 Segment SOTP</x:v>
      </x:c>
      <x:c r="B1" s="4"/>
      <x:c r="C1" s="4"/>
      <x:c r="D1" s="4"/>
      <x:c r="E1" s="4"/>
    </x:row>
    <x:row r="2" ht="28" customHeight="1">
      <x:c r="A2" s="10" t="str">
        <x:v>Shopee and Garena use EV/EBITDA. Monee uses normalized earnings = 75% of adjusted EBITDA and a P/E multiple. Segment values are discounted 2.4 years to the valuation date; net liquid assets are then added.</x:v>
      </x:c>
      <x:c r="B2" s="10"/>
      <x:c r="C2" s="10"/>
      <x:c r="D2" s="10"/>
      <x:c r="E2" s="10"/>
    </x:row>
    <x:row r="4">
      <x:c r="A4" s="19" t="str">
        <x:v>Metric</x:v>
      </x:c>
      <x:c r="B4" s="19" t="str">
        <x:v>Bear</x:v>
      </x:c>
      <x:c r="C4" s="19" t="str">
        <x:v>Base</x:v>
      </x:c>
      <x:c r="D4" s="19" t="str">
        <x:v>Bull</x:v>
      </x:c>
    </x:row>
    <x:row r="5">
      <x:c r="A5" t="str">
        <x:v>2028 Shopee revenue ($bn)</x:v>
      </x:c>
      <x:c r="B5" s="68" t="n">
        <x:f>Forecast!D6</x:f>
        <x:v>28.8144</x:v>
      </x:c>
      <x:c r="C5" s="68" t="n">
        <x:f>Forecast!D36</x:f>
        <x:v>30.9514</x:v>
      </x:c>
      <x:c r="D5" s="68" t="n">
        <x:f>Forecast!D66</x:f>
        <x:v>33.72875</x:v>
      </x:c>
    </x:row>
    <x:row r="6">
      <x:c r="A6" t="str">
        <x:v>2028 Shopee EBITDA margin</x:v>
      </x:c>
      <x:c r="B6" s="70" t="n">
        <x:f>Forecast!D8</x:f>
        <x:v>0.055</x:v>
      </x:c>
      <x:c r="C6" s="70" t="n">
        <x:f>Forecast!D38</x:f>
        <x:v>0.07</x:v>
      </x:c>
      <x:c r="D6" s="70" t="n">
        <x:f>Forecast!D68</x:f>
        <x:v>0.085</x:v>
      </x:c>
    </x:row>
    <x:row r="7">
      <x:c r="A7" t="str">
        <x:v>2028 Shopee EBITDA ($bn)</x:v>
      </x:c>
      <x:c r="B7" s="68" t="n">
        <x:f>B5*B6</x:f>
        <x:v>1.584792</x:v>
      </x:c>
      <x:c r="C7" s="68" t="n">
        <x:f>C5*C6</x:f>
        <x:v>2.166598</x:v>
      </x:c>
      <x:c r="D7" s="68" t="n">
        <x:f>D5*D6</x:f>
        <x:v>2.86694375</x:v>
      </x:c>
    </x:row>
    <x:row r="8">
      <x:c r="A8" t="str">
        <x:v>Shopee EV/EBITDA multiple</x:v>
      </x:c>
      <x:c r="B8" s="92" t="n">
        <x:v>14</x:v>
      </x:c>
      <x:c r="C8" s="92" t="n">
        <x:v>20</x:v>
      </x:c>
      <x:c r="D8" s="92" t="n">
        <x:v>26</x:v>
      </x:c>
    </x:row>
    <x:row r="9">
      <x:c r="A9" t="str">
        <x:v>Shopee enterprise value ($bn)</x:v>
      </x:c>
      <x:c r="B9" s="68" t="n">
        <x:f>B7*B8</x:f>
        <x:v>22.187088</x:v>
      </x:c>
      <x:c r="C9" s="68" t="n">
        <x:f>C7*C8</x:f>
        <x:v>43.33196</x:v>
      </x:c>
      <x:c r="D9" s="68" t="n">
        <x:f>D7*D8</x:f>
        <x:v>74.5405375</x:v>
      </x:c>
    </x:row>
    <x:row r="10">
      <x:c r="A10" t="str">
        <x:v>2028 Monee revenue ($bn)</x:v>
      </x:c>
      <x:c r="B10" s="68" t="n">
        <x:f>Forecast!D10</x:f>
        <x:v>8.25</x:v>
      </x:c>
      <x:c r="C10" s="68" t="n">
        <x:f>Forecast!D40</x:f>
        <x:v>9.052560000000001</x:v>
      </x:c>
      <x:c r="D10" s="68" t="n">
        <x:f>Forecast!D70</x:f>
        <x:v>11.3535</x:v>
      </x:c>
    </x:row>
    <x:row r="11">
      <x:c r="A11" t="str">
        <x:v>2028 Monee EBITDA margin</x:v>
      </x:c>
      <x:c r="B11" s="70" t="n">
        <x:f>Forecast!D12</x:f>
        <x:v>0.23</x:v>
      </x:c>
      <x:c r="C11" s="70" t="n">
        <x:f>Forecast!D42</x:f>
        <x:v>0.28</x:v>
      </x:c>
      <x:c r="D11" s="70" t="n">
        <x:f>Forecast!D72</x:f>
        <x:v>0.32</x:v>
      </x:c>
    </x:row>
    <x:row r="12">
      <x:c r="A12" t="str">
        <x:v>2028 Monee EBITDA ($bn)</x:v>
      </x:c>
      <x:c r="B12" s="68" t="n">
        <x:f>B10*B11</x:f>
        <x:v>1.8975000000000002</x:v>
      </x:c>
      <x:c r="C12" s="68" t="n">
        <x:f>C10*C11</x:f>
        <x:v>2.534716800000001</x:v>
      </x:c>
      <x:c r="D12" s="68" t="n">
        <x:f>D10*D11</x:f>
        <x:v>3.6331200000000003</x:v>
      </x:c>
    </x:row>
    <x:row r="13">
      <x:c r="A13" t="str">
        <x:v>Monee normalized net income / EBITDA</x:v>
      </x:c>
      <x:c r="B13" s="70" t="n">
        <x:v>0.75</x:v>
      </x:c>
      <x:c r="C13" s="70" t="n">
        <x:v>0.75</x:v>
      </x:c>
      <x:c r="D13" s="70" t="n">
        <x:v>0.75</x:v>
      </x:c>
    </x:row>
    <x:row r="14">
      <x:c r="A14" t="str">
        <x:v>Monee normalized net income ($bn)</x:v>
      </x:c>
      <x:c r="B14" s="68" t="n">
        <x:f>B12*B13</x:f>
        <x:v>1.4231250000000002</x:v>
      </x:c>
      <x:c r="C14" s="68" t="n">
        <x:f>C12*C13</x:f>
        <x:v>1.9010376000000007</x:v>
      </x:c>
      <x:c r="D14" s="68" t="n">
        <x:f>D12*D13</x:f>
        <x:v>2.7248400000000004</x:v>
      </x:c>
    </x:row>
    <x:row r="15">
      <x:c r="A15" t="str">
        <x:v>Monee P/E multiple</x:v>
      </x:c>
      <x:c r="B15" s="110" t="n">
        <x:v>14</x:v>
      </x:c>
      <x:c r="C15" s="110" t="n">
        <x:v>20</x:v>
      </x:c>
      <x:c r="D15" s="110" t="n">
        <x:v>26</x:v>
      </x:c>
    </x:row>
    <x:row r="16">
      <x:c r="A16" t="str">
        <x:v>Monee equity value ($bn)</x:v>
      </x:c>
      <x:c r="B16" s="68" t="n">
        <x:f>B14*B15</x:f>
        <x:v>19.923750000000002</x:v>
      </x:c>
      <x:c r="C16" s="68" t="n">
        <x:f>C14*C15</x:f>
        <x:v>38.020752000000016</x:v>
      </x:c>
      <x:c r="D16" s="68" t="n">
        <x:f>D14*D15</x:f>
        <x:v>70.84584000000001</x:v>
      </x:c>
    </x:row>
    <x:row r="17">
      <x:c r="A17" t="str">
        <x:v>2028 Garena revenue ($bn)</x:v>
      </x:c>
      <x:c r="B17" s="68" t="n">
        <x:f>Forecast!D14</x:f>
        <x:v>2.865975</x:v>
      </x:c>
      <x:c r="C17" s="68" t="n">
        <x:f>Forecast!D44</x:f>
        <x:v>3.3858000000000006</x:v>
      </x:c>
      <x:c r="D17" s="68" t="n">
        <x:f>Forecast!D74</x:f>
        <x:v>4.209</x:v>
      </x:c>
    </x:row>
    <x:row r="18">
      <x:c r="A18" t="str">
        <x:v>2028 Garena EBITDA margin</x:v>
      </x:c>
      <x:c r="B18" s="70" t="n">
        <x:f>Forecast!D16</x:f>
        <x:v>0.63</x:v>
      </x:c>
      <x:c r="C18" s="70" t="n">
        <x:f>Forecast!D46</x:f>
        <x:v>0.7</x:v>
      </x:c>
      <x:c r="D18" s="70" t="n">
        <x:f>Forecast!D76</x:f>
        <x:v>0.71</x:v>
      </x:c>
    </x:row>
    <x:row r="19">
      <x:c r="A19" t="str">
        <x:v>2028 Garena EBITDA ($bn)</x:v>
      </x:c>
      <x:c r="B19" s="68" t="n">
        <x:f>B17*B18</x:f>
        <x:v>1.8055642500000002</x:v>
      </x:c>
      <x:c r="C19" s="68" t="n">
        <x:f>C17*C18</x:f>
        <x:v>2.37006</x:v>
      </x:c>
      <x:c r="D19" s="68" t="n">
        <x:f>D17*D18</x:f>
        <x:v>2.9883899999999994</x:v>
      </x:c>
    </x:row>
    <x:row r="20">
      <x:c r="A20" t="str">
        <x:v>Garena EV/EBITDA multiple</x:v>
      </x:c>
      <x:c r="B20" s="92" t="n">
        <x:v>7</x:v>
      </x:c>
      <x:c r="C20" s="92" t="n">
        <x:v>10</x:v>
      </x:c>
      <x:c r="D20" s="92" t="n">
        <x:v>13</x:v>
      </x:c>
    </x:row>
    <x:row r="21">
      <x:c r="A21" t="str">
        <x:v>Garena enterprise value ($bn)</x:v>
      </x:c>
      <x:c r="B21" s="68" t="n">
        <x:f>B19*B20</x:f>
        <x:v>12.638949750000002</x:v>
      </x:c>
      <x:c r="C21" s="68" t="n">
        <x:f>C19*C20</x:f>
        <x:v>23.7006</x:v>
      </x:c>
      <x:c r="D21" s="68" t="n">
        <x:f>D19*D20</x:f>
        <x:v>38.84906999999999</x:v>
      </x:c>
    </x:row>
    <x:row r="22">
      <x:c r="A22" t="str">
        <x:v>2028 corporate overhead ($bn)</x:v>
      </x:c>
      <x:c r="B22" s="68" t="n">
        <x:f>Forecast!D19</x:f>
        <x:v>0.32</x:v>
      </x:c>
      <x:c r="C22" s="68" t="n">
        <x:f>Forecast!D49</x:f>
        <x:v>0.3</x:v>
      </x:c>
      <x:c r="D22" s="68" t="n">
        <x:f>Forecast!D79</x:f>
        <x:v>0.28</x:v>
      </x:c>
    </x:row>
    <x:row r="23">
      <x:c r="A23" t="str">
        <x:v>Corporate overhead capitalization multiple</x:v>
      </x:c>
      <x:c r="B23" s="92" t="n">
        <x:v>10</x:v>
      </x:c>
      <x:c r="C23" s="92" t="n">
        <x:v>12</x:v>
      </x:c>
      <x:c r="D23" s="92" t="n">
        <x:v>14</x:v>
      </x:c>
    </x:row>
    <x:row r="24">
      <x:c r="A24" t="str">
        <x:v>Capitalized corporate overhead ($bn)</x:v>
      </x:c>
      <x:c r="B24" s="68" t="n">
        <x:f>B22*B23</x:f>
        <x:v>3.2</x:v>
      </x:c>
      <x:c r="C24" s="68" t="n">
        <x:f>C22*C23</x:f>
        <x:v>3.5999999999999996</x:v>
      </x:c>
      <x:c r="D24" s="68" t="n">
        <x:f>D22*D23</x:f>
        <x:v>3.9200000000000004</x:v>
      </x:c>
    </x:row>
    <x:row r="25">
      <x:c r="A25" t="str">
        <x:v>Future segment value ($bn)</x:v>
      </x:c>
      <x:c r="B25" s="68" t="n">
        <x:f>B9+B16+B21-B24</x:f>
        <x:v>51.54978775</x:v>
      </x:c>
      <x:c r="C25" s="68" t="n">
        <x:f>C9+C16+C21-C24</x:f>
        <x:v>101.45331200000004</x:v>
      </x:c>
      <x:c r="D25" s="68" t="n">
        <x:f>D9+D16+D21-D24</x:f>
        <x:v>180.3154475</x:v>
      </x:c>
    </x:row>
    <x:row r="26">
      <x:c r="A26" t="str">
        <x:v>Discount rate</x:v>
      </x:c>
      <x:c r="B26" s="83" t="n">
        <x:v>0.14</x:v>
      </x:c>
      <x:c r="C26" s="83" t="n">
        <x:v>0.125</x:v>
      </x:c>
      <x:c r="D26" s="83" t="n">
        <x:v>0.095</x:v>
      </x:c>
    </x:row>
    <x:row r="27">
      <x:c r="A27" t="str">
        <x:v>PV factor (2.4 years)</x:v>
      </x:c>
      <x:c r="B27" s="68" t="n">
        <x:f>1/(1+B26)^2.4</x:f>
        <x:v>0.730177349536526</x:v>
      </x:c>
      <x:c r="C27" s="68" t="n">
        <x:f>1/(1+C26)^2.4</x:f>
        <x:v>0.7537614912817807</x:v>
      </x:c>
      <x:c r="D27" s="68" t="n">
        <x:f>1/(1+D26)^2.4</x:f>
        <x:v>0.804277860521835</x:v>
      </x:c>
    </x:row>
    <x:row r="28">
      <x:c r="A28" t="str">
        <x:v>PV operating equity value ($bn)</x:v>
      </x:c>
      <x:c r="B28" s="68" t="n">
        <x:f>B25*B27</x:f>
        <x:v>37.64048738846548</x:v>
      </x:c>
      <x:c r="C28" s="68" t="n">
        <x:f>C25*C27</x:f>
        <x:v>76.4715997485958</x:v>
      </x:c>
      <x:c r="D28" s="68" t="n">
        <x:f>D25*D27</x:f>
        <x:v>145.02372233433726</x:v>
      </x:c>
    </x:row>
    <x:row r="29">
      <x:c r="A29" t="str">
        <x:v>Net liquid assets ($bn)</x:v>
      </x:c>
      <x:c r="B29" s="28" t="n">
        <x:v>5.5</x:v>
      </x:c>
      <x:c r="C29" s="52" t="n">
        <x:f>CapitalStructure!B11</x:f>
        <x:v>6.686999999999999</x:v>
      </x:c>
      <x:c r="D29" s="28" t="n">
        <x:v>7.5</x:v>
      </x:c>
    </x:row>
    <x:row r="30">
      <x:c r="A30" t="str">
        <x:v>Valuation shares (mm)</x:v>
      </x:c>
      <x:c r="B30" s="54" t="n">
        <x:f>CapitalStructure!B14</x:f>
        <x:v>650</x:v>
      </x:c>
      <x:c r="C30" s="54" t="n">
        <x:f>CapitalStructure!B13</x:f>
        <x:v>640</x:v>
      </x:c>
      <x:c r="D30" s="54" t="n">
        <x:f>CapitalStructure!B15</x:f>
        <x:v>630</x:v>
      </x:c>
    </x:row>
    <x:row r="31">
      <x:c r="A31" s="98" t="str">
        <x:v>SOTP value / share</x:v>
      </x:c>
      <x:c r="B31" s="99" t="n">
        <x:f>(B28+B29)*1000/B30</x:f>
        <x:v>66.3699805976392</x:v>
      </x:c>
      <x:c r="C31" s="99" t="n">
        <x:f>(C28+C29)*1000/C30</x:f>
        <x:v>129.93531210718095</x:v>
      </x:c>
      <x:c r="D31" s="99" t="n">
        <x:f>(D28+D29)*1000/D30</x:f>
        <x:v>242.1011465624401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3" max="13" width="18" hidden="0" customWidth="1"/>
    <x:col min="14" max="14" width="18" hidden="0" customWidth="1"/>
    <x:col min="16" max="16" width="22" hidden="0" customWidth="1"/>
    <x:col min="17" max="17" width="16" hidden="0" customWidth="1"/>
  </x:cols>
  <x:sheetData>
    <x:row r="1" ht="28" customHeight="1">
      <x:c r="A1" s="4" t="str">
        <x:v>Normalized DCF Cross-Check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2" ht="28" customHeight="1">
      <x:c r="A2" s="10" t="str">
        <x:v>DCF uses normalized FCFF from the Forecast sheet. It includes a 10% equity-capital charge on incremental Monee on-book loans, making the treatment more conservative than simply ignoring credit-book growth.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</x:row>
    <x:row r="4">
      <x:c r="A4" s="19" t="str">
        <x:v>Metric</x:v>
      </x:c>
      <x:c r="B4" s="19" t="str">
        <x:v>2026E</x:v>
      </x:c>
      <x:c r="C4" s="19" t="str">
        <x:v>2027E</x:v>
      </x:c>
      <x:c r="D4" s="19" t="str">
        <x:v>2028E</x:v>
      </x:c>
      <x:c r="E4" s="19" t="str">
        <x:v>2029E</x:v>
      </x:c>
      <x:c r="F4" s="19" t="str">
        <x:v>2030E</x:v>
      </x:c>
      <x:c r="G4" s="19" t="str">
        <x:v>2031E</x:v>
      </x:c>
      <x:c r="H4" s="19" t="str">
        <x:v>2032E</x:v>
      </x:c>
      <x:c r="I4" s="19" t="str">
        <x:v>2033E</x:v>
      </x:c>
      <x:c r="J4" s="19" t="str">
        <x:v>2034E</x:v>
      </x:c>
      <x:c r="K4" s="19" t="str">
        <x:v>2035E</x:v>
      </x:c>
    </x:row>
    <x:row r="5">
      <x:c r="A5" s="63" t="str">
        <x:v>Bear DCF</x:v>
      </x:c>
      <x:c r="B5" s="63" t="str">
        <x:v>Bear DCF</x:v>
      </x:c>
      <x:c r="C5" s="63" t="str">
        <x:v>Bear DCF</x:v>
      </x:c>
      <x:c r="D5" s="63" t="str">
        <x:v>Bear DCF</x:v>
      </x:c>
      <x:c r="E5" s="63" t="str">
        <x:v>Bear DCF</x:v>
      </x:c>
      <x:c r="F5" s="63" t="str">
        <x:v>Bear DCF</x:v>
      </x:c>
      <x:c r="G5" s="63" t="str">
        <x:v>Bear DCF</x:v>
      </x:c>
      <x:c r="H5" s="63" t="str">
        <x:v>Bear DCF</x:v>
      </x:c>
      <x:c r="I5" s="63" t="str">
        <x:v>Bear DCF</x:v>
      </x:c>
      <x:c r="J5" s="63" t="str">
        <x:v>Bear DCF</x:v>
      </x:c>
      <x:c r="K5" s="63" t="str">
        <x:v>Bear DCF</x:v>
      </x:c>
      <x:c r="M5" t="str">
        <x:v>WACC</x:v>
      </x:c>
      <x:c r="N5" s="37" t="n">
        <x:v>0.14</x:v>
      </x:c>
    </x:row>
    <x:row r="6">
      <x:c r="A6" t="str">
        <x:v>Normalized FCFF ($bn)</x:v>
      </x:c>
      <x:c r="B6" s="52" t="n">
        <x:f>Forecast!B33</x:f>
        <x:v>1.8405450000000003</x:v>
      </x:c>
      <x:c r="C6" s="52" t="n">
        <x:f>Forecast!C33</x:f>
        <x:v>2.4671656499999997</x:v>
      </x:c>
      <x:c r="D6" s="52" t="n">
        <x:f>Forecast!D33</x:f>
        <x:v>3.1837080395000004</x:v>
      </x:c>
      <x:c r="E6" s="52" t="n">
        <x:f>Forecast!E33</x:f>
        <x:v>3.981277710060001</x:v>
      </x:c>
      <x:c r="F6" s="52" t="n">
        <x:f>Forecast!F33</x:f>
        <x:v>4.8573150339098</x:v>
      </x:c>
      <x:c r="G6" s="52" t="n">
        <x:f>Forecast!G33</x:f>
        <x:v>5.810293637489345</x:v>
      </x:c>
      <x:c r="H6" s="52" t="n">
        <x:f>Forecast!H33</x:f>
        <x:v>6.522371642888312</x:v>
      </x:c>
      <x:c r="I6" s="52" t="n">
        <x:f>Forecast!I33</x:f>
        <x:v>7.271245843364812</x:v>
      </x:c>
      <x:c r="J6" s="52" t="n">
        <x:f>Forecast!J33</x:f>
        <x:v>8.043784887120113</x:v>
      </x:c>
      <x:c r="K6" s="52" t="n">
        <x:f>Forecast!K33</x:f>
        <x:v>8.857312989376053</x:v>
      </x:c>
      <x:c r="M6" t="str">
        <x:v>Terminal growth</x:v>
      </x:c>
      <x:c r="N6" s="37" t="n">
        <x:v>0.02</x:v>
      </x:c>
    </x:row>
    <x:row r="7">
      <x:c r="A7" t="str">
        <x:v>Discount period</x:v>
      </x:c>
      <x:c r="B7" s="39" t="n">
        <x:v>0.4</x:v>
      </x:c>
      <x:c r="C7" s="39" t="n">
        <x:v>1.4</x:v>
      </x:c>
      <x:c r="D7" s="39" t="n">
        <x:v>2.4</x:v>
      </x:c>
      <x:c r="E7" s="39" t="n">
        <x:v>3.4</x:v>
      </x:c>
      <x:c r="F7" s="39" t="n">
        <x:v>4.4</x:v>
      </x:c>
      <x:c r="G7" s="39" t="n">
        <x:v>5.4</x:v>
      </x:c>
      <x:c r="H7" s="39" t="n">
        <x:v>6.4</x:v>
      </x:c>
      <x:c r="I7" s="39" t="n">
        <x:v>7.4</x:v>
      </x:c>
      <x:c r="J7" s="39" t="n">
        <x:v>8.4</x:v>
      </x:c>
      <x:c r="K7" s="39" t="n">
        <x:v>9.4</x:v>
      </x:c>
    </x:row>
    <x:row r="8">
      <x:c r="A8" t="str">
        <x:v>Discount factor</x:v>
      </x:c>
      <x:c r="B8" s="106" t="n">
        <x:f>1/(1+$N$5)^B7</x:f>
        <x:v>0.9489384834576693</x:v>
      </x:c>
      <x:c r="C8" s="106" t="n">
        <x:f>1/(1+$N$5)^C7</x:f>
        <x:v>0.8324021784716397</x:v>
      </x:c>
      <x:c r="D8" s="106" t="n">
        <x:f>1/(1+$N$5)^D7</x:f>
        <x:v>0.730177349536526</x:v>
      </x:c>
      <x:c r="E8" s="106" t="n">
        <x:f>1/(1+$N$5)^E7</x:f>
        <x:v>0.6405064469618649</x:v>
      </x:c>
      <x:c r="F8" s="106" t="n">
        <x:f>1/(1+$N$5)^F7</x:f>
        <x:v>0.5618477604928638</x:v>
      </x:c>
      <x:c r="G8" s="106" t="n">
        <x:f>1/(1+$N$5)^G7</x:f>
        <x:v>0.4928489127130384</x:v>
      </x:c>
      <x:c r="H8" s="106" t="n">
        <x:f>1/(1+$N$5)^H7</x:f>
        <x:v>0.43232360764301603</x:v>
      </x:c>
      <x:c r="I8" s="106" t="n">
        <x:f>1/(1+$N$5)^I7</x:f>
        <x:v>0.37923123477457543</x:v>
      </x:c>
      <x:c r="J8" s="106" t="n">
        <x:f>1/(1+$N$5)^J7</x:f>
        <x:v>0.33265897787243454</x:v>
      </x:c>
      <x:c r="K8" s="106" t="n">
        <x:f>1/(1+$N$5)^K7</x:f>
        <x:v>0.29180612094073205</x:v>
      </x:c>
    </x:row>
    <x:row r="9">
      <x:c r="A9" t="str">
        <x:v>PV FCFF ($bn)</x:v>
      </x:c>
      <x:c r="B9" s="68" t="n">
        <x:f>B6*B8</x:f>
        <x:v>1.7465639810355962</x:v>
      </x:c>
      <x:c r="C9" s="68" t="n">
        <x:f>C6*C8</x:f>
        <x:v>2.0536740617103986</x:v>
      </x:c>
      <x:c r="D9" s="68" t="n">
        <x:f>D6*D8</x:f>
        <x:v>2.3246714979802396</x:v>
      </x:c>
      <x:c r="E9" s="68" t="n">
        <x:f>E6*E8</x:f>
        <x:v>2.5500340404390007</x:v>
      </x:c>
      <x:c r="F9" s="68" t="n">
        <x:f>F6*F8</x:f>
        <x:v>2.7290715738105398</x:v>
      </x:c>
      <x:c r="G9" s="68" t="n">
        <x:f>G6*G8</x:f>
        <x:v>2.863596901780108</x:v>
      </x:c>
      <x:c r="H9" s="68" t="n">
        <x:f>H6*H8</x:f>
        <x:v>2.8197752390419804</x:v>
      </x:c>
      <x:c r="I9" s="68" t="n">
        <x:f>I6*I8</x:f>
        <x:v>2.757483539528737</x:v>
      </x:c>
      <x:c r="J9" s="68" t="n">
        <x:f>J6*J8</x:f>
        <x:v>2.675837258775113</x:v>
      </x:c>
      <x:c r="K9" s="68" t="n">
        <x:f>K6*K8</x:f>
        <x:v>2.5846181453877857</x:v>
      </x:c>
      <x:c r="P9" t="str">
        <x:v>PV explicit FCFF</x:v>
      </x:c>
      <x:c r="Q9" s="68" t="n">
        <x:f>SUM(B9:K9)</x:f>
        <x:v>25.105326239489493</x:v>
      </x:c>
    </x:row>
    <x:row r="10">
      <x:c r="P10" t="str">
        <x:v>Terminal FCFF</x:v>
      </x:c>
      <x:c r="Q10" s="68" t="n">
        <x:f>K6*(1+$N$6)</x:f>
        <x:v>9.034459249163575</x:v>
      </x:c>
    </x:row>
    <x:row r="11">
      <x:c r="P11" t="str">
        <x:v>Terminal value</x:v>
      </x:c>
      <x:c r="Q11" s="68" t="n">
        <x:f>Q10/($N$5-$N$6)</x:f>
        <x:v>75.28716040969645</x:v>
      </x:c>
    </x:row>
    <x:row r="12">
      <x:c r="P12" t="str">
        <x:v>PV terminal value</x:v>
      </x:c>
      <x:c r="Q12" s="68" t="n">
        <x:f>Q11*K8</x:f>
        <x:v>21.96925423579618</x:v>
      </x:c>
    </x:row>
    <x:row r="13">
      <x:c r="P13" t="str">
        <x:v>Enterprise value</x:v>
      </x:c>
      <x:c r="Q13" s="68" t="n">
        <x:f>Q9+Q12</x:f>
        <x:v>47.07458047528567</x:v>
      </x:c>
    </x:row>
    <x:row r="14">
      <x:c r="P14" t="str">
        <x:v>Net liquid assets</x:v>
      </x:c>
      <x:c r="Q14" s="52" t="n">
        <x:v>5.5</x:v>
      </x:c>
    </x:row>
    <x:row r="15">
      <x:c r="P15" t="str">
        <x:v>Equity value</x:v>
      </x:c>
      <x:c r="Q15" s="52" t="n">
        <x:f>Q13+Q14</x:f>
        <x:v>52.57458047528567</x:v>
      </x:c>
    </x:row>
    <x:row r="16">
      <x:c r="P16" t="str">
        <x:v>Shares (mm)</x:v>
      </x:c>
      <x:c r="Q16" s="54" t="n">
        <x:f>CapitalStructure!B14</x:f>
        <x:v>650</x:v>
      </x:c>
    </x:row>
    <x:row r="17">
      <x:c r="P17" s="58" t="str">
        <x:v>DCF value / share</x:v>
      </x:c>
      <x:c r="Q17" s="108" t="n">
        <x:f>Q15*1000/Q16</x:f>
        <x:v>80.88396996197795</x:v>
      </x:c>
    </x:row>
    <x:row r="22">
      <x:c r="A22" s="63" t="str">
        <x:v>Base DCF</x:v>
      </x:c>
      <x:c r="B22" s="63" t="str">
        <x:v>Base DCF</x:v>
      </x:c>
      <x:c r="C22" s="63" t="str">
        <x:v>Base DCF</x:v>
      </x:c>
      <x:c r="D22" s="63" t="str">
        <x:v>Base DCF</x:v>
      </x:c>
      <x:c r="E22" s="63" t="str">
        <x:v>Base DCF</x:v>
      </x:c>
      <x:c r="F22" s="63" t="str">
        <x:v>Base DCF</x:v>
      </x:c>
      <x:c r="G22" s="63" t="str">
        <x:v>Base DCF</x:v>
      </x:c>
      <x:c r="H22" s="63" t="str">
        <x:v>Base DCF</x:v>
      </x:c>
      <x:c r="I22" s="63" t="str">
        <x:v>Base DCF</x:v>
      </x:c>
      <x:c r="J22" s="63" t="str">
        <x:v>Base DCF</x:v>
      </x:c>
      <x:c r="K22" s="63" t="str">
        <x:v>Base DCF</x:v>
      </x:c>
      <x:c r="M22" t="str">
        <x:v>WACC</x:v>
      </x:c>
      <x:c r="N22" s="82" t="n">
        <x:v>0.125</x:v>
      </x:c>
    </x:row>
    <x:row r="23">
      <x:c r="A23" t="str">
        <x:v>Normalized FCFF ($bn)</x:v>
      </x:c>
      <x:c r="B23" s="52" t="n">
        <x:f>Forecast!B63</x:f>
        <x:v>2.366496</x:v>
      </x:c>
      <x:c r="C23" s="52" t="n">
        <x:f>Forecast!C63</x:f>
        <x:v>3.2730375999999994</x:v>
      </x:c>
      <x:c r="D23" s="52" t="n">
        <x:f>Forecast!D63</x:f>
        <x:v>4.453358828000001</x:v>
      </x:c>
      <x:c r="E23" s="52" t="n">
        <x:f>Forecast!E63</x:f>
        <x:v>5.77896728658</x:v>
      </x:c>
      <x:c r="F23" s="52" t="n">
        <x:f>Forecast!F63</x:f>
        <x:v>7.2386512682592015</x:v>
      </x:c>
      <x:c r="G23" s="52" t="n">
        <x:f>Forecast!G63</x:f>
        <x:v>8.661716390590165</x:v>
      </x:c>
      <x:c r="H23" s="52" t="n">
        <x:f>Forecast!H63</x:f>
        <x:v>10.111431453392553</x:v>
      </x:c>
      <x:c r="I23" s="52" t="n">
        <x:f>Forecast!I63</x:f>
        <x:v>11.433681944449443</x:v>
      </x:c>
      <x:c r="J23" s="52" t="n">
        <x:f>Forecast!J63</x:f>
        <x:v>12.751393593123348</x:v>
      </x:c>
      <x:c r="K23" s="52" t="n">
        <x:f>Forecast!K63</x:f>
        <x:v>14.128711172745676</x:v>
      </x:c>
      <x:c r="M23" t="str">
        <x:v>Terminal growth</x:v>
      </x:c>
      <x:c r="N23" s="82" t="n">
        <x:v>0.025</x:v>
      </x:c>
    </x:row>
    <x:row r="24">
      <x:c r="A24" t="str">
        <x:v>Discount period</x:v>
      </x:c>
      <x:c r="B24" s="39" t="n">
        <x:v>0.4</x:v>
      </x:c>
      <x:c r="C24" s="39" t="n">
        <x:v>1.4</x:v>
      </x:c>
      <x:c r="D24" s="39" t="n">
        <x:v>2.4</x:v>
      </x:c>
      <x:c r="E24" s="39" t="n">
        <x:v>3.4</x:v>
      </x:c>
      <x:c r="F24" s="39" t="n">
        <x:v>4.4</x:v>
      </x:c>
      <x:c r="G24" s="39" t="n">
        <x:v>5.4</x:v>
      </x:c>
      <x:c r="H24" s="39" t="n">
        <x:v>6.4</x:v>
      </x:c>
      <x:c r="I24" s="39" t="n">
        <x:v>7.4</x:v>
      </x:c>
      <x:c r="J24" s="39" t="n">
        <x:v>8.4</x:v>
      </x:c>
      <x:c r="K24" s="39" t="n">
        <x:v>9.4</x:v>
      </x:c>
    </x:row>
    <x:row r="25">
      <x:c r="A25" t="str">
        <x:v>Discount factor</x:v>
      </x:c>
      <x:c r="B25" s="106" t="n">
        <x:f>1/(1+$N$22)^B24</x:f>
        <x:v>0.9539793874035037</x:v>
      </x:c>
      <x:c r="C25" s="106" t="n">
        <x:f>1/(1+$N$22)^C24</x:f>
        <x:v>0.8479816776920033</x:v>
      </x:c>
      <x:c r="D25" s="106" t="n">
        <x:f>1/(1+$N$22)^D24</x:f>
        <x:v>0.7537614912817807</x:v>
      </x:c>
      <x:c r="E25" s="106" t="n">
        <x:f>1/(1+$N$22)^E24</x:f>
        <x:v>0.6700102144726939</x:v>
      </x:c>
      <x:c r="F25" s="106" t="n">
        <x:f>1/(1+$N$22)^F24</x:f>
        <x:v>0.595564635086839</x:v>
      </x:c>
      <x:c r="G25" s="106" t="n">
        <x:f>1/(1+$N$22)^G24</x:f>
        <x:v>0.529390786743857</x:v>
      </x:c>
      <x:c r="H25" s="106" t="n">
        <x:f>1/(1+$N$22)^H24</x:f>
        <x:v>0.4705695882167617</x:v>
      </x:c>
      <x:c r="I25" s="106" t="n">
        <x:f>1/(1+$N$22)^I24</x:f>
        <x:v>0.4182840784148993</x:v>
      </x:c>
      <x:c r="J25" s="106" t="n">
        <x:f>1/(1+$N$22)^J24</x:f>
        <x:v>0.37180806970213265</x:v>
      </x:c>
      <x:c r="K25" s="106" t="n">
        <x:f>1/(1+$N$22)^K24</x:f>
        <x:v>0.3304960619574513</x:v>
      </x:c>
    </x:row>
    <x:row r="26">
      <x:c r="A26" t="str">
        <x:v>PV FCFF ($bn)</x:v>
      </x:c>
      <x:c r="B26" s="68" t="n">
        <x:f>B23*B25</x:f>
        <x:v>2.257588404372842</x:v>
      </x:c>
      <x:c r="C26" s="68" t="n">
        <x:f>C23*C25</x:f>
        <x:v>2.7754759151970076</x:v>
      </x:c>
      <x:c r="D26" s="68" t="n">
        <x:f>D23*D25</x:f>
        <x:v>3.3567703914061635</x:v>
      </x:c>
      <x:c r="E26" s="68" t="n">
        <x:f>E23*E25</x:f>
        <x:v>3.871967111112148</x:v>
      </x:c>
      <x:c r="F26" s="68" t="n">
        <x:f>F23*F25</x:f>
        <x:v>4.3110847011016755</x:v>
      </x:c>
      <x:c r="G26" s="68" t="n">
        <x:f>G23*G25</x:f>
        <x:v>4.5854328545666885</x:v>
      </x:c>
      <x:c r="H26" s="68" t="n">
        <x:f>H23*H25</x:f>
        <x:v>4.758132135304946</x:v>
      </x:c>
      <x:c r="I26" s="68" t="n">
        <x:f>I23*I25</x:f>
        <x:v>4.782527115023109</x:v>
      </x:c>
      <x:c r="J26" s="68" t="n">
        <x:f>J23*J25</x:f>
        <x:v>4.741071037871333</x:v>
      </x:c>
      <x:c r="K26" s="68" t="n">
        <x:f>K23*K25</x:f>
        <x:v>4.669483403126689</x:v>
      </x:c>
      <x:c r="P26" t="str">
        <x:v>PV explicit FCFF</x:v>
      </x:c>
      <x:c r="Q26" s="68" t="n">
        <x:f>SUM(B26:K26)</x:f>
        <x:v>40.10953306908261</x:v>
      </x:c>
    </x:row>
    <x:row r="27">
      <x:c r="P27" t="str">
        <x:v>Terminal FCFF</x:v>
      </x:c>
      <x:c r="Q27" s="68" t="n">
        <x:f>K23*(1+$N$23)</x:f>
        <x:v>14.481928952064317</x:v>
      </x:c>
    </x:row>
    <x:row r="28">
      <x:c r="P28" t="str">
        <x:v>Terminal value</x:v>
      </x:c>
      <x:c r="Q28" s="68" t="n">
        <x:f>Q27/($N$22-$N$23)</x:f>
        <x:v>144.81928952064317</x:v>
      </x:c>
    </x:row>
    <x:row r="29">
      <x:c r="P29" t="str">
        <x:v>PV terminal value</x:v>
      </x:c>
      <x:c r="Q29" s="68" t="n">
        <x:f>Q28*K25</x:f>
        <x:v>47.86220488204856</x:v>
      </x:c>
    </x:row>
    <x:row r="30">
      <x:c r="P30" t="str">
        <x:v>Enterprise value</x:v>
      </x:c>
      <x:c r="Q30" s="68" t="n">
        <x:f>Q26+Q29</x:f>
        <x:v>87.97173795113116</x:v>
      </x:c>
    </x:row>
    <x:row r="31">
      <x:c r="P31" t="str">
        <x:v>Net liquid assets</x:v>
      </x:c>
      <x:c r="Q31" s="52" t="n">
        <x:f>CapitalStructure!B11</x:f>
        <x:v>6.686999999999999</x:v>
      </x:c>
    </x:row>
    <x:row r="32">
      <x:c r="P32" t="str">
        <x:v>Equity value</x:v>
      </x:c>
      <x:c r="Q32" s="52" t="n">
        <x:f>Q30+Q31</x:f>
        <x:v>94.65873795113116</x:v>
      </x:c>
    </x:row>
    <x:row r="33">
      <x:c r="P33" t="str">
        <x:v>Shares (mm)</x:v>
      </x:c>
      <x:c r="Q33" s="54" t="n">
        <x:f>CapitalStructure!B13</x:f>
        <x:v>640</x:v>
      </x:c>
    </x:row>
    <x:row r="34">
      <x:c r="P34" s="58" t="str">
        <x:v>DCF value / share</x:v>
      </x:c>
      <x:c r="Q34" s="108" t="n">
        <x:f>Q32*1000/Q33</x:f>
        <x:v>147.90427804864242</x:v>
      </x:c>
    </x:row>
    <x:row r="39">
      <x:c r="A39" s="63" t="str">
        <x:v>Bull DCF</x:v>
      </x:c>
      <x:c r="B39" s="63" t="str">
        <x:v>Bull DCF</x:v>
      </x:c>
      <x:c r="C39" s="63" t="str">
        <x:v>Bull DCF</x:v>
      </x:c>
      <x:c r="D39" s="63" t="str">
        <x:v>Bull DCF</x:v>
      </x:c>
      <x:c r="E39" s="63" t="str">
        <x:v>Bull DCF</x:v>
      </x:c>
      <x:c r="F39" s="63" t="str">
        <x:v>Bull DCF</x:v>
      </x:c>
      <x:c r="G39" s="63" t="str">
        <x:v>Bull DCF</x:v>
      </x:c>
      <x:c r="H39" s="63" t="str">
        <x:v>Bull DCF</x:v>
      </x:c>
      <x:c r="I39" s="63" t="str">
        <x:v>Bull DCF</x:v>
      </x:c>
      <x:c r="J39" s="63" t="str">
        <x:v>Bull DCF</x:v>
      </x:c>
      <x:c r="K39" s="63" t="str">
        <x:v>Bull DCF</x:v>
      </x:c>
      <x:c r="M39" t="str">
        <x:v>WACC</x:v>
      </x:c>
      <x:c r="N39" s="37" t="n">
        <x:v>0.095</x:v>
      </x:c>
    </x:row>
    <x:row r="40">
      <x:c r="A40" t="str">
        <x:v>Normalized FCFF ($bn)</x:v>
      </x:c>
      <x:c r="B40" s="52" t="n">
        <x:f>Forecast!B93</x:f>
        <x:v>2.6735650000000004</x:v>
      </x:c>
      <x:c r="C40" s="52" t="n">
        <x:f>Forecast!C93</x:f>
        <x:v>4.239813650000001</x:v>
      </x:c>
      <x:c r="D40" s="52" t="n">
        <x:f>Forecast!D93</x:f>
        <x:v>6.1261139145</x:v>
      </x:c>
      <x:c r="E40" s="52" t="n">
        <x:f>Forecast!E93</x:f>
        <x:v>8.406628223910001</x:v>
      </x:c>
      <x:c r="F40" s="52" t="n">
        <x:f>Forecast!F93</x:f>
        <x:v>10.9197498321128</x:v>
      </x:c>
      <x:c r="G40" s="52" t="n">
        <x:f>Forecast!G93</x:f>
        <x:v>13.391350346402076</x:v>
      </x:c>
      <x:c r="H40" s="52" t="n">
        <x:f>Forecast!H93</x:f>
        <x:v>15.906476799113955</x:v>
      </x:c>
      <x:c r="I40" s="52" t="n">
        <x:f>Forecast!I93</x:f>
        <x:v>18.277230268188628</x:v>
      </x:c>
      <x:c r="J40" s="52" t="n">
        <x:f>Forecast!J93</x:f>
        <x:v>20.745563497737464</x:v>
      </x:c>
      <x:c r="K40" s="52" t="n">
        <x:f>Forecast!K93</x:f>
        <x:v>23.332972707341597</x:v>
      </x:c>
      <x:c r="M40" t="str">
        <x:v>Terminal growth</x:v>
      </x:c>
      <x:c r="N40" s="37" t="n">
        <x:v>0.03</x:v>
      </x:c>
    </x:row>
    <x:row r="41">
      <x:c r="A41" t="str">
        <x:v>Discount period</x:v>
      </x:c>
      <x:c r="B41" s="39" t="n">
        <x:v>0.4</x:v>
      </x:c>
      <x:c r="C41" s="39" t="n">
        <x:v>1.4</x:v>
      </x:c>
      <x:c r="D41" s="39" t="n">
        <x:v>2.4</x:v>
      </x:c>
      <x:c r="E41" s="39" t="n">
        <x:v>3.4</x:v>
      </x:c>
      <x:c r="F41" s="39" t="n">
        <x:v>4.4</x:v>
      </x:c>
      <x:c r="G41" s="39" t="n">
        <x:v>5.4</x:v>
      </x:c>
      <x:c r="H41" s="39" t="n">
        <x:v>6.4</x:v>
      </x:c>
      <x:c r="I41" s="39" t="n">
        <x:v>7.4</x:v>
      </x:c>
      <x:c r="J41" s="39" t="n">
        <x:v>8.4</x:v>
      </x:c>
      <x:c r="K41" s="39" t="n">
        <x:v>9.4</x:v>
      </x:c>
    </x:row>
    <x:row r="42">
      <x:c r="A42" t="str">
        <x:v>Discount factor</x:v>
      </x:c>
      <x:c r="B42" s="106" t="n">
        <x:f>1/(1+$N$39)^B41</x:f>
        <x:v>0.9643492617121933</x:v>
      </x:c>
      <x:c r="C42" s="106" t="n">
        <x:f>1/(1+$N$39)^C41</x:f>
        <x:v>0.8806842572714092</x:v>
      </x:c>
      <x:c r="D42" s="106" t="n">
        <x:f>1/(1+$N$39)^D41</x:f>
        <x:v>0.804277860521835</x:v>
      </x:c>
      <x:c r="E42" s="106" t="n">
        <x:f>1/(1+$N$39)^E41</x:f>
        <x:v>0.7345003292436849</x:v>
      </x:c>
      <x:c r="F42" s="106" t="n">
        <x:f>1/(1+$N$39)^F41</x:f>
        <x:v>0.6707765563869269</x:v>
      </x:c>
      <x:c r="G42" s="106" t="n">
        <x:f>1/(1+$N$39)^G41</x:f>
        <x:v>0.6125813300337232</x:v>
      </x:c>
      <x:c r="H42" s="106" t="n">
        <x:f>1/(1+$N$39)^H41</x:f>
        <x:v>0.5594350045970076</x:v>
      </x:c>
      <x:c r="I42" s="106" t="n">
        <x:f>1/(1+$N$39)^I41</x:f>
        <x:v>0.5108995475771758</x:v>
      </x:c>
      <x:c r="J42" s="106" t="n">
        <x:f>1/(1+$N$39)^J41</x:f>
        <x:v>0.46657492929422445</x:v>
      </x:c>
      <x:c r="K42" s="106" t="n">
        <x:f>1/(1+$N$39)^K41</x:f>
        <x:v>0.4260958258394745</x:v>
      </x:c>
    </x:row>
    <x:row r="43">
      <x:c r="A43" t="str">
        <x:v>PV FCFF ($bn)</x:v>
      </x:c>
      <x:c r="B43" s="68" t="n">
        <x:f>B40*B42</x:f>
        <x:v>2.5782504338895604</x:v>
      </x:c>
      <x:c r="C43" s="68" t="n">
        <x:f>C40*C42</x:f>
        <x:v>3.7339371353194335</x:v>
      </x:c>
      <x:c r="D43" s="68" t="n">
        <x:f>D40*D42</x:f>
        <x:v>4.927097792467104</x:v>
      </x:c>
      <x:c r="E43" s="68" t="n">
        <x:f>E40*E42</x:f>
        <x:v>6.17467119829115</x:v>
      </x:c>
      <x:c r="F43" s="68" t="n">
        <x:f>F40*F42</x:f>
        <x:v>7.324712188991347</x:v>
      </x:c>
      <x:c r="G43" s="68" t="n">
        <x:f>G40*G42</x:f>
        <x:v>8.203291206146544</x:v>
      </x:c>
      <x:c r="H43" s="68" t="n">
        <x:f>H40*H42</x:f>
        <x:v>8.89863992123451</x:v>
      </x:c>
      <x:c r="I43" s="68" t="n">
        <x:f>I40*I42</x:f>
        <x:v>9.337828674981434</x:v>
      </x:c>
      <x:c r="J43" s="68" t="n">
        <x:f>J40*J42</x:f>
        <x:v>9.6793598221257</x:v>
      </x:c>
      <x:c r="K43" s="68" t="n">
        <x:f>K40*K42</x:f>
        <x:v>9.942082275024637</x:v>
      </x:c>
      <x:c r="P43" t="str">
        <x:v>PV explicit FCFF</x:v>
      </x:c>
      <x:c r="Q43" s="68" t="n">
        <x:f>SUM(B43:K43)</x:f>
        <x:v>70.79987064847143</x:v>
      </x:c>
    </x:row>
    <x:row r="44">
      <x:c r="P44" t="str">
        <x:v>Terminal FCFF</x:v>
      </x:c>
      <x:c r="Q44" s="68" t="n">
        <x:f>K40*(1+$N$40)</x:f>
        <x:v>24.032961888561847</x:v>
      </x:c>
    </x:row>
    <x:row r="45">
      <x:c r="P45" t="str">
        <x:v>Terminal value</x:v>
      </x:c>
      <x:c r="Q45" s="68" t="n">
        <x:f>Q44/($N$39-$N$40)</x:f>
        <x:v>369.7378752086438</x:v>
      </x:c>
    </x:row>
    <x:row r="46">
      <x:c r="P46" t="str">
        <x:v>PV terminal value</x:v>
      </x:c>
      <x:c r="Q46" s="68" t="n">
        <x:f>Q45*K42</x:f>
        <x:v>157.54376528115964</x:v>
      </x:c>
    </x:row>
    <x:row r="47">
      <x:c r="P47" t="str">
        <x:v>Enterprise value</x:v>
      </x:c>
      <x:c r="Q47" s="68" t="n">
        <x:f>Q43+Q46</x:f>
        <x:v>228.34363592963106</x:v>
      </x:c>
    </x:row>
    <x:row r="48">
      <x:c r="P48" t="str">
        <x:v>Net liquid assets</x:v>
      </x:c>
      <x:c r="Q48" s="52" t="n">
        <x:v>7.5</x:v>
      </x:c>
    </x:row>
    <x:row r="49">
      <x:c r="P49" t="str">
        <x:v>Equity value</x:v>
      </x:c>
      <x:c r="Q49" s="52" t="n">
        <x:f>Q47+Q48</x:f>
        <x:v>235.84363592963106</x:v>
      </x:c>
    </x:row>
    <x:row r="50">
      <x:c r="P50" t="str">
        <x:v>Shares (mm)</x:v>
      </x:c>
      <x:c r="Q50" s="54" t="n">
        <x:f>CapitalStructure!B15</x:f>
        <x:v>630</x:v>
      </x:c>
    </x:row>
    <x:row r="51">
      <x:c r="P51" s="58" t="str">
        <x:v>DCF value / share</x:v>
      </x:c>
      <x:c r="Q51" s="108" t="n">
        <x:f>Q49*1000/Q50</x:f>
        <x:v>374.3549776660811</x:v>
      </x:c>
    </x:row>
  </x:sheetData>
  <x:mergeCells>
    <x:mergeCell ref="A1:R1"/>
    <x:mergeCell ref="A2:R2"/>
    <x:mergeCell ref="A5:K5"/>
    <x:mergeCell ref="A22:K22"/>
    <x:mergeCell ref="A39:K39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7" hidden="0" customWidth="1"/>
    <x:col min="3" max="3" width="17" hidden="0" customWidth="1"/>
    <x:col min="4" max="4" width="17" hidden="0" customWidth="1"/>
  </x:cols>
  <x:sheetData>
    <x:row r="1" ht="28" customHeight="1">
      <x:c r="A1" s="4" t="str">
        <x:v>2030 Earnings / P-E Cross-Check</x:v>
      </x:c>
      <x:c r="B1" s="4"/>
      <x:c r="C1" s="4"/>
      <x:c r="D1" s="4"/>
      <x:c r="E1" s="4"/>
    </x:row>
    <x:row r="2" ht="28" customHeight="1">
      <x:c r="A2" s="10" t="str">
        <x:v>Uses 2030 normalized NOPAT as a conservative proxy for attributable earnings, applies an equity P/E and discounts the future equity value 4.4 years.</x:v>
      </x:c>
      <x:c r="B2" s="10"/>
      <x:c r="C2" s="10"/>
      <x:c r="D2" s="10"/>
      <x:c r="E2" s="10"/>
    </x:row>
    <x:row r="4">
      <x:c r="A4" s="19" t="str">
        <x:v>Metric</x:v>
      </x:c>
      <x:c r="B4" s="19" t="str">
        <x:v>Bear</x:v>
      </x:c>
      <x:c r="C4" s="19" t="str">
        <x:v>Base</x:v>
      </x:c>
      <x:c r="D4" s="19" t="str">
        <x:v>Bull</x:v>
      </x:c>
    </x:row>
    <x:row r="5">
      <x:c r="A5" t="str">
        <x:v>2030 NOPAT proxy ($bn)</x:v>
      </x:c>
      <x:c r="B5" s="52" t="n">
        <x:f>Forecast!F28</x:f>
        <x:v>4.0950518862698</x:v>
      </x:c>
      <x:c r="C5" s="52" t="n">
        <x:f>Forecast!F58</x:f>
        <x:v>6.484774297779201</x:v>
      </x:c>
      <x:c r="D5" s="52" t="n">
        <x:f>Forecast!F88</x:f>
        <x:v>10.217927259272798</x:v>
      </x:c>
    </x:row>
    <x:row r="6">
      <x:c r="A6" t="str">
        <x:v>2030 P/E multiple</x:v>
      </x:c>
      <x:c r="B6" s="110" t="n">
        <x:v>16</x:v>
      </x:c>
      <x:c r="C6" s="110" t="n">
        <x:v>20</x:v>
      </x:c>
      <x:c r="D6" s="110" t="n">
        <x:v>24</x:v>
      </x:c>
    </x:row>
    <x:row r="7">
      <x:c r="A7" t="str">
        <x:v>2030 equity value ($bn)</x:v>
      </x:c>
      <x:c r="B7" s="68" t="n">
        <x:f>B5*B6</x:f>
        <x:v>65.5208301803168</x:v>
      </x:c>
      <x:c r="C7" s="68" t="n">
        <x:f>C5*C6</x:f>
        <x:v>129.69548595558402</x:v>
      </x:c>
      <x:c r="D7" s="68" t="n">
        <x:f>D5*D6</x:f>
        <x:v>245.23025422254716</x:v>
      </x:c>
    </x:row>
    <x:row r="8">
      <x:c r="A8" t="str">
        <x:v>Discount rate</x:v>
      </x:c>
      <x:c r="B8" s="83" t="n">
        <x:v>0.14</x:v>
      </x:c>
      <x:c r="C8" s="83" t="n">
        <x:v>0.125</x:v>
      </x:c>
      <x:c r="D8" s="83" t="n">
        <x:v>0.095</x:v>
      </x:c>
    </x:row>
    <x:row r="9">
      <x:c r="A9" t="str">
        <x:v>PV factor (4.4 years)</x:v>
      </x:c>
      <x:c r="B9" s="68" t="n">
        <x:f>1/(1+B8)^4.4</x:f>
        <x:v>0.5618477604928638</x:v>
      </x:c>
      <x:c r="C9" s="68" t="n">
        <x:f>1/(1+C8)^4.4</x:f>
        <x:v>0.595564635086839</x:v>
      </x:c>
      <x:c r="D9" s="68" t="n">
        <x:f>1/(1+D8)^4.4</x:f>
        <x:v>0.6707765563869269</x:v>
      </x:c>
    </x:row>
    <x:row r="10">
      <x:c r="A10" t="str">
        <x:v>PV equity value ($bn)</x:v>
      </x:c>
      <x:c r="B10" s="68" t="n">
        <x:f>B7*B9</x:f>
        <x:v>36.81273170244424</x:v>
      </x:c>
      <x:c r="C10" s="68" t="n">
        <x:f>C7*C9</x:f>
        <x:v>77.24204476554765</x:v>
      </x:c>
      <x:c r="D10" s="68" t="n">
        <x:f>D7*D9</x:f>
        <x:v>164.49470544929082</x:v>
      </x:c>
    </x:row>
    <x:row r="11">
      <x:c r="A11" t="str">
        <x:v>Valuation shares (mm)</x:v>
      </x:c>
      <x:c r="B11" s="54" t="n">
        <x:f>CapitalStructure!B14</x:f>
        <x:v>650</x:v>
      </x:c>
      <x:c r="C11" s="54" t="n">
        <x:f>CapitalStructure!B13</x:f>
        <x:v>640</x:v>
      </x:c>
      <x:c r="D11" s="54" t="n">
        <x:f>CapitalStructure!B15</x:f>
        <x:v>630</x:v>
      </x:c>
    </x:row>
    <x:row r="12">
      <x:c r="A12" s="96" t="str">
        <x:v>Value / share</x:v>
      </x:c>
      <x:c r="B12" s="97" t="n">
        <x:f>B10*1000/B11</x:f>
        <x:v>56.634971849914216</x:v>
      </x:c>
      <x:c r="C12" s="97" t="n">
        <x:f>C10*1000/C11</x:f>
        <x:v>120.6906949461682</x:v>
      </x:c>
      <x:c r="D12" s="97" t="n">
        <x:f>D10*1000/D11</x:f>
        <x:v>261.10270706236633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8" customHeight="1">
      <x:c r="A1" s="4" t="str">
        <x:v>Valuation Summary</x:v>
      </x:c>
      <x:c r="B1" s="4"/>
      <x:c r="C1" s="4"/>
      <x:c r="D1" s="4"/>
      <x:c r="E1" s="4"/>
      <x:c r="F1" s="4"/>
    </x:row>
    <x:row r="2" ht="28" customHeight="1">
      <x:c r="A2" s="10" t="str">
        <x:v>Blended value weights 2028 segment SOTP 50%, normalized DCF 25%, and 2030 P/E cross-check 25%.</x:v>
      </x:c>
      <x:c r="B2" s="10"/>
      <x:c r="C2" s="10"/>
      <x:c r="D2" s="10"/>
      <x:c r="E2" s="10"/>
      <x:c r="F2" s="10"/>
    </x:row>
    <x:row r="4">
      <x:c r="A4" s="19" t="str">
        <x:v>Method</x:v>
      </x:c>
      <x:c r="B4" s="19" t="str">
        <x:v>Bear</x:v>
      </x:c>
      <x:c r="C4" s="19" t="str">
        <x:v>Base</x:v>
      </x:c>
      <x:c r="D4" s="19" t="str">
        <x:v>Bull</x:v>
      </x:c>
    </x:row>
    <x:row r="5">
      <x:c r="A5" t="str">
        <x:v>2028 Segment SOTP</x:v>
      </x:c>
      <x:c r="B5" s="52" t="n">
        <x:f>SOTP!B31</x:f>
        <x:v>66.3699805976392</x:v>
      </x:c>
      <x:c r="C5" s="52" t="n">
        <x:f>SOTP!C31</x:f>
        <x:v>129.93531210718095</x:v>
      </x:c>
      <x:c r="D5" s="52" t="n">
        <x:f>SOTP!D31</x:f>
        <x:v>242.1011465624401</x:v>
      </x:c>
    </x:row>
    <x:row r="6">
      <x:c r="A6" t="str">
        <x:v>Normalized DCF</x:v>
      </x:c>
      <x:c r="B6" s="52" t="n">
        <x:f>DCF!Q17</x:f>
        <x:v>80.88396996197795</x:v>
      </x:c>
      <x:c r="C6" s="52" t="n">
        <x:f>DCF!Q34</x:f>
        <x:v>147.90427804864242</x:v>
      </x:c>
      <x:c r="D6" s="52" t="n">
        <x:f>DCF!Q51</x:f>
        <x:v>374.3549776660811</x:v>
      </x:c>
    </x:row>
    <x:row r="7">
      <x:c r="A7" t="str">
        <x:v>2030 P/E</x:v>
      </x:c>
      <x:c r="B7" s="52" t="n">
        <x:f>PE_CrossCheck!B12</x:f>
        <x:v>56.634971849914216</x:v>
      </x:c>
      <x:c r="C7" s="52" t="n">
        <x:f>PE_CrossCheck!C12</x:f>
        <x:v>120.6906949461682</x:v>
      </x:c>
      <x:c r="D7" s="52" t="n">
        <x:f>PE_CrossCheck!D12</x:f>
        <x:v>261.10270706236633</x:v>
      </x:c>
    </x:row>
    <x:row r="8">
      <x:c r="A8" s="98" t="str">
        <x:v>Blended intrinsic value</x:v>
      </x:c>
      <x:c r="B8" s="99" t="n">
        <x:f>B5*B12+B6*B13+B7*B14</x:f>
        <x:v>67.56472575179264</x:v>
      </x:c>
      <x:c r="C8" s="99" t="n">
        <x:f>C5*C12+C6*C13+C7*C14</x:f>
        <x:v>132.11639930229313</x:v>
      </x:c>
      <x:c r="D8" s="99" t="n">
        <x:f>D5*D12+D6*D13+D7*D14</x:f>
        <x:v>279.91499446333194</x:v>
      </x:c>
    </x:row>
    <x:row r="11">
      <x:c r="A11" s="19" t="str">
        <x:v>Method weights</x:v>
      </x:c>
      <x:c r="B11" s="19" t="str">
        <x:v>Bear</x:v>
      </x:c>
      <x:c r="C11" s="19" t="str">
        <x:v>Base</x:v>
      </x:c>
      <x:c r="D11" s="19" t="str">
        <x:v>Bull</x:v>
      </x:c>
    </x:row>
    <x:row r="12">
      <x:c r="A12" t="str">
        <x:v>SOTP</x:v>
      </x:c>
      <x:c r="B12" s="82" t="n">
        <x:v>0.5</x:v>
      </x:c>
      <x:c r="C12" s="82" t="n">
        <x:v>0.5</x:v>
      </x:c>
      <x:c r="D12" s="82" t="n">
        <x:v>0.5</x:v>
      </x:c>
    </x:row>
    <x:row r="13">
      <x:c r="A13" t="str">
        <x:v>DCF</x:v>
      </x:c>
      <x:c r="B13" s="82" t="n">
        <x:v>0.25</x:v>
      </x:c>
      <x:c r="C13" s="82" t="n">
        <x:v>0.25</x:v>
      </x:c>
      <x:c r="D13" s="82" t="n">
        <x:v>0.25</x:v>
      </x:c>
    </x:row>
    <x:row r="14">
      <x:c r="A14" t="str">
        <x:v>P/E</x:v>
      </x:c>
      <x:c r="B14" s="82" t="n">
        <x:v>0.25</x:v>
      </x:c>
      <x:c r="C14" s="82" t="n">
        <x:v>0.25</x:v>
      </x:c>
      <x:c r="D14" s="82" t="n">
        <x:v>0.25</x:v>
      </x:c>
    </x:row>
    <x:row r="17">
      <x:c r="A17" s="63" t="str">
        <x:v>Current Price Comparison</x:v>
      </x:c>
      <x:c r="B17" s="63" t="str">
        <x:v>Current Price Comparison</x:v>
      </x:c>
      <x:c r="C17" s="63" t="str">
        <x:v>Current Price Comparison</x:v>
      </x:c>
      <x:c r="D17" s="63" t="str">
        <x:v>Current Price Comparison</x:v>
      </x:c>
    </x:row>
    <x:row r="18">
      <x:c r="A18" s="19" t="str">
        <x:v>Metric</x:v>
      </x:c>
      <x:c r="B18" s="19" t="str">
        <x:v>Bear</x:v>
      </x:c>
      <x:c r="C18" s="19" t="str">
        <x:v>Base</x:v>
      </x:c>
      <x:c r="D18" s="19" t="str">
        <x:v>Bull</x:v>
      </x:c>
    </x:row>
    <x:row r="19">
      <x:c r="A19" t="str">
        <x:v>Current price (Aug 7 intraday)</x:v>
      </x:c>
      <x:c r="B19" s="52" t="n">
        <x:f>Historical!E30</x:f>
        <x:v>113.91</x:v>
      </x:c>
      <x:c r="C19" s="52" t="n">
        <x:f>Historical!E30</x:f>
        <x:v>113.91</x:v>
      </x:c>
      <x:c r="D19" s="52" t="n">
        <x:f>Historical!E30</x:f>
        <x:v>113.91</x:v>
      </x:c>
    </x:row>
    <x:row r="20">
      <x:c r="A20" t="str">
        <x:v>Upside / (downside)</x:v>
      </x:c>
      <x:c r="B20" s="70" t="n">
        <x:f>B8/B19-1</x:f>
        <x:v>-0.4068586976403069</x:v>
      </x:c>
      <x:c r="C20" s="70" t="n">
        <x:f>C8/C19-1</x:f>
        <x:v>0.15983143975325387</x:v>
      </x:c>
      <x:c r="D20" s="70" t="n">
        <x:f>D8/D19-1</x:f>
        <x:v>1.4573346893453776</x:v>
      </x:c>
    </x:row>
    <x:row r="23">
      <x:c r="A23" s="63" t="str">
        <x:v>Key Base Outputs</x:v>
      </x:c>
      <x:c r="B23" s="63" t="str">
        <x:v>Key Base Outputs</x:v>
      </x:c>
      <x:c r="C23" s="63" t="str">
        <x:v>Key Base Outputs</x:v>
      </x:c>
      <x:c r="D23" s="63" t="str">
        <x:v>Key Base Outputs</x:v>
      </x:c>
    </x:row>
    <x:row r="24">
      <x:c r="A24" s="19" t="str">
        <x:v>Metric</x:v>
      </x:c>
      <x:c r="B24" s="19" t="str">
        <x:v>Base</x:v>
      </x:c>
    </x:row>
    <x:row r="25">
      <x:c r="A25" t="str">
        <x:v>2026 group revenue ($bn)</x:v>
      </x:c>
      <x:c r="B25" s="52" t="n">
        <x:f>Forecast!B50</x:f>
        <x:v>29.95</x:v>
      </x:c>
    </x:row>
    <x:row r="26">
      <x:c r="A26" t="str">
        <x:v>2026 group adjusted EBITDA ($bn)</x:v>
      </x:c>
      <x:c r="B26" s="52" t="n">
        <x:f>Forecast!B51</x:f>
        <x:v>3.8404</x:v>
      </x:c>
    </x:row>
    <x:row r="27">
      <x:c r="A27" t="str">
        <x:v>2028 Shopee EBITDA ($bn)</x:v>
      </x:c>
      <x:c r="B27" s="52" t="n">
        <x:f>Forecast!D39</x:f>
        <x:v>2.166598</x:v>
      </x:c>
    </x:row>
    <x:row r="28">
      <x:c r="A28" t="str">
        <x:v>2028 Monee EBITDA ($bn)</x:v>
      </x:c>
      <x:c r="B28" s="52" t="n">
        <x:f>Forecast!D43</x:f>
        <x:v>2.534716800000001</x:v>
      </x:c>
    </x:row>
    <x:row r="29">
      <x:c r="A29" t="str">
        <x:v>2028 Garena EBITDA ($bn)</x:v>
      </x:c>
      <x:c r="B29" s="52" t="n">
        <x:f>Forecast!D47</x:f>
        <x:v>2.37006</x:v>
      </x:c>
    </x:row>
    <x:row r="30">
      <x:c r="A30" t="str">
        <x:v>2030 group revenue ($bn)</x:v>
      </x:c>
      <x:c r="B30" s="52" t="n">
        <x:f>Forecast!F50</x:f>
        <x:v>57.58384852399999</x:v>
      </x:c>
    </x:row>
    <x:row r="31">
      <x:c r="A31" t="str">
        <x:v>2030 group adjusted EBITDA ($bn)</x:v>
      </x:c>
      <x:c r="B31" s="52" t="n">
        <x:f>Forecast!F51</x:f>
        <x:v>10.51192900144</x:v>
      </x:c>
    </x:row>
    <x:row r="32">
      <x:c r="A32" t="str">
        <x:v>Net liquid assets ($bn)</x:v>
      </x:c>
      <x:c r="B32" s="52" t="n">
        <x:f>CapitalStructure!B11</x:f>
        <x:v>6.686999999999999</x:v>
      </x:c>
    </x:row>
  </x:sheetData>
  <x:mergeCells>
    <x:mergeCell ref="A1:F1"/>
    <x:mergeCell ref="A2:F2"/>
    <x:mergeCell ref="A17:D17"/>
    <x:mergeCell ref="A23:D2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4" t="str">
        <x:v>Base-Case Sensitivity</x:v>
      </x:c>
      <x:c r="B1" s="4"/>
      <x:c r="C1" s="4"/>
      <x:c r="D1" s="4"/>
      <x:c r="E1" s="4"/>
      <x:c r="F1" s="4"/>
      <x:c r="G1" s="4"/>
      <x:c r="H1" s="4"/>
    </x:row>
    <x:row r="2" ht="28" customHeight="1">
      <x:c r="A2" s="10" t="str">
        <x:v>Two most important valuation sensitivities: Shopee long-term profitability / multiple and Monee profitability / P-E multiple.</x:v>
      </x:c>
      <x:c r="B2" s="10"/>
      <x:c r="C2" s="10"/>
      <x:c r="D2" s="10"/>
      <x:c r="E2" s="10"/>
      <x:c r="F2" s="10"/>
      <x:c r="G2" s="10"/>
      <x:c r="H2" s="10"/>
    </x:row>
    <x:row r="4">
      <x:c r="A4" s="63" t="str">
        <x:v>SOTP Value / Share — Shopee EBITDA Margin vs EV/EBITDA Multiple</x:v>
      </x:c>
      <x:c r="B4" s="63" t="str">
        <x:v>SOTP Value / Share — Shopee EBITDA Margin vs EV/EBITDA Multiple</x:v>
      </x:c>
      <x:c r="C4" s="63" t="str">
        <x:v>SOTP Value / Share — Shopee EBITDA Margin vs EV/EBITDA Multiple</x:v>
      </x:c>
      <x:c r="D4" s="63" t="str">
        <x:v>SOTP Value / Share — Shopee EBITDA Margin vs EV/EBITDA Multiple</x:v>
      </x:c>
      <x:c r="E4" s="63" t="str">
        <x:v>SOTP Value / Share — Shopee EBITDA Margin vs EV/EBITDA Multiple</x:v>
      </x:c>
      <x:c r="F4" s="63" t="str">
        <x:v>SOTP Value / Share — Shopee EBITDA Margin vs EV/EBITDA Multiple</x:v>
      </x:c>
      <x:c r="G4" s="63" t="str">
        <x:v>SOTP Value / Share — Shopee EBITDA Margin vs EV/EBITDA Multiple</x:v>
      </x:c>
      <x:c r="H4" s="63" t="str">
        <x:v>SOTP Value / Share — Shopee EBITDA Margin vs EV/EBITDA Multiple</x:v>
      </x:c>
    </x:row>
    <x:row r="5">
      <x:c r="B5" s="37" t="n">
        <x:v>0.05</x:v>
      </x:c>
      <x:c r="C5" s="37" t="n">
        <x:v>0.06</x:v>
      </x:c>
      <x:c r="D5" s="37" t="n">
        <x:v>0.07</x:v>
      </x:c>
      <x:c r="E5" s="37" t="n">
        <x:v>0.08</x:v>
      </x:c>
      <x:c r="F5" s="37" t="n">
        <x:v>0.09</x:v>
      </x:c>
      <x:c r="G5" s="37" t="n">
        <x:v>0.1</x:v>
      </x:c>
    </x:row>
    <x:row r="6">
      <x:c r="A6" s="90" t="n">
        <x:v>14</x:v>
      </x:c>
      <x:c r="B6" s="52" t="n">
        <x:f>((SOTP!$C$5*B$5*$A6+SOTP!$C$16+SOTP!$C$21-SOTP!$C$24)*SOTP!$C$27+SOTP!$C$29)*1000/SOTP!$C$30</x:f>
        <x:v>104.41815367767899</x:v>
      </x:c>
      <x:c r="C6" s="52" t="n">
        <x:f>((SOTP!$C$5*C$5*$A6+SOTP!$C$16+SOTP!$C$21-SOTP!$C$24)*SOTP!$C$27+SOTP!$C$29)*1000/SOTP!$C$30</x:f>
        <x:v>109.5215853635794</x:v>
      </x:c>
      <x:c r="D6" s="52" t="n">
        <x:f>((SOTP!$C$5*D$5*$A6+SOTP!$C$16+SOTP!$C$21-SOTP!$C$24)*SOTP!$C$27+SOTP!$C$29)*1000/SOTP!$C$30</x:f>
        <x:v>114.62501704947977</x:v>
      </x:c>
      <x:c r="E6" s="52" t="n">
        <x:f>((SOTP!$C$5*E$5*$A6+SOTP!$C$16+SOTP!$C$21-SOTP!$C$24)*SOTP!$C$27+SOTP!$C$29)*1000/SOTP!$C$30</x:f>
        <x:v>119.72844873538017</x:v>
      </x:c>
      <x:c r="F6" s="52" t="n">
        <x:f>((SOTP!$C$5*F$5*$A6+SOTP!$C$16+SOTP!$C$21-SOTP!$C$24)*SOTP!$C$27+SOTP!$C$29)*1000/SOTP!$C$30</x:f>
        <x:v>124.83188042128054</x:v>
      </x:c>
      <x:c r="G6" s="52" t="n">
        <x:f>((SOTP!$C$5*G$5*$A6+SOTP!$C$16+SOTP!$C$21-SOTP!$C$24)*SOTP!$C$27+SOTP!$C$29)*1000/SOTP!$C$30</x:f>
        <x:v>129.93531210718095</x:v>
      </x:c>
    </x:row>
    <x:row r="7">
      <x:c r="A7" s="90" t="n">
        <x:v>16</x:v>
      </x:c>
      <x:c r="B7" s="52" t="n">
        <x:f>((SOTP!$C$5*B$5*$A7+SOTP!$C$16+SOTP!$C$21-SOTP!$C$24)*SOTP!$C$27+SOTP!$C$29)*1000/SOTP!$C$30</x:f>
        <x:v>108.06346202475072</x:v>
      </x:c>
      <x:c r="C7" s="52" t="n">
        <x:f>((SOTP!$C$5*C$5*$A7+SOTP!$C$16+SOTP!$C$21-SOTP!$C$24)*SOTP!$C$27+SOTP!$C$29)*1000/SOTP!$C$30</x:f>
        <x:v>113.89595538006544</x:v>
      </x:c>
      <x:c r="D7" s="52" t="n">
        <x:f>((SOTP!$C$5*D$5*$A7+SOTP!$C$16+SOTP!$C$21-SOTP!$C$24)*SOTP!$C$27+SOTP!$C$29)*1000/SOTP!$C$30</x:f>
        <x:v>119.72844873538017</x:v>
      </x:c>
      <x:c r="E7" s="52" t="n">
        <x:f>((SOTP!$C$5*E$5*$A7+SOTP!$C$16+SOTP!$C$21-SOTP!$C$24)*SOTP!$C$27+SOTP!$C$29)*1000/SOTP!$C$30</x:f>
        <x:v>125.56094209069491</x:v>
      </x:c>
      <x:c r="F7" s="52" t="n">
        <x:f>((SOTP!$C$5*F$5*$A7+SOTP!$C$16+SOTP!$C$21-SOTP!$C$24)*SOTP!$C$27+SOTP!$C$29)*1000/SOTP!$C$30</x:f>
        <x:v>131.3934354460096</x:v>
      </x:c>
      <x:c r="G7" s="52" t="n">
        <x:f>((SOTP!$C$5*G$5*$A7+SOTP!$C$16+SOTP!$C$21-SOTP!$C$24)*SOTP!$C$27+SOTP!$C$29)*1000/SOTP!$C$30</x:f>
        <x:v>137.22592880132436</x:v>
      </x:c>
    </x:row>
    <x:row r="8">
      <x:c r="A8" s="90" t="n">
        <x:v>18</x:v>
      </x:c>
      <x:c r="B8" s="52" t="n">
        <x:f>((SOTP!$C$5*B$5*$A8+SOTP!$C$16+SOTP!$C$21-SOTP!$C$24)*SOTP!$C$27+SOTP!$C$29)*1000/SOTP!$C$30</x:f>
        <x:v>111.7087703718224</x:v>
      </x:c>
      <x:c r="C8" s="52" t="n">
        <x:f>((SOTP!$C$5*C$5*$A8+SOTP!$C$16+SOTP!$C$21-SOTP!$C$24)*SOTP!$C$27+SOTP!$C$29)*1000/SOTP!$C$30</x:f>
        <x:v>118.2703253965515</x:v>
      </x:c>
      <x:c r="D8" s="52" t="n">
        <x:f>((SOTP!$C$5*D$5*$A8+SOTP!$C$16+SOTP!$C$21-SOTP!$C$24)*SOTP!$C$27+SOTP!$C$29)*1000/SOTP!$C$30</x:f>
        <x:v>124.83188042128054</x:v>
      </x:c>
      <x:c r="E8" s="52" t="n">
        <x:f>((SOTP!$C$5*E$5*$A8+SOTP!$C$16+SOTP!$C$21-SOTP!$C$24)*SOTP!$C$27+SOTP!$C$29)*1000/SOTP!$C$30</x:f>
        <x:v>131.39343544600962</x:v>
      </x:c>
      <x:c r="F8" s="52" t="n">
        <x:f>((SOTP!$C$5*F$5*$A8+SOTP!$C$16+SOTP!$C$21-SOTP!$C$24)*SOTP!$C$27+SOTP!$C$29)*1000/SOTP!$C$30</x:f>
        <x:v>137.9549904707387</x:v>
      </x:c>
      <x:c r="G8" s="52" t="n">
        <x:f>((SOTP!$C$5*G$5*$A8+SOTP!$C$16+SOTP!$C$21-SOTP!$C$24)*SOTP!$C$27+SOTP!$C$29)*1000/SOTP!$C$30</x:f>
        <x:v>144.51654549546777</x:v>
      </x:c>
    </x:row>
    <x:row r="9">
      <x:c r="A9" s="90" t="n">
        <x:v>20</x:v>
      </x:c>
      <x:c r="B9" s="52" t="n">
        <x:f>((SOTP!$C$5*B$5*$A9+SOTP!$C$16+SOTP!$C$21-SOTP!$C$24)*SOTP!$C$27+SOTP!$C$29)*1000/SOTP!$C$30</x:f>
        <x:v>115.35407871889413</x:v>
      </x:c>
      <x:c r="C9" s="52" t="n">
        <x:f>((SOTP!$C$5*C$5*$A9+SOTP!$C$16+SOTP!$C$21-SOTP!$C$24)*SOTP!$C$27+SOTP!$C$29)*1000/SOTP!$C$30</x:f>
        <x:v>122.64469541303754</x:v>
      </x:c>
      <x:c r="D9" s="52" t="n">
        <x:f>((SOTP!$C$5*D$5*$A9+SOTP!$C$16+SOTP!$C$21-SOTP!$C$24)*SOTP!$C$27+SOTP!$C$29)*1000/SOTP!$C$30</x:f>
        <x:v>129.93531210718095</x:v>
      </x:c>
      <x:c r="E9" s="52" t="n">
        <x:f>((SOTP!$C$5*E$5*$A9+SOTP!$C$16+SOTP!$C$21-SOTP!$C$24)*SOTP!$C$27+SOTP!$C$29)*1000/SOTP!$C$30</x:f>
        <x:v>137.22592880132436</x:v>
      </x:c>
      <x:c r="F9" s="52" t="n">
        <x:f>((SOTP!$C$5*F$5*$A9+SOTP!$C$16+SOTP!$C$21-SOTP!$C$24)*SOTP!$C$27+SOTP!$C$29)*1000/SOTP!$C$30</x:f>
        <x:v>144.5165454954677</x:v>
      </x:c>
      <x:c r="G9" s="52" t="n">
        <x:f>((SOTP!$C$5*G$5*$A9+SOTP!$C$16+SOTP!$C$21-SOTP!$C$24)*SOTP!$C$27+SOTP!$C$29)*1000/SOTP!$C$30</x:f>
        <x:v>151.8071621896112</x:v>
      </x:c>
    </x:row>
    <x:row r="10">
      <x:c r="A10" s="90" t="n">
        <x:v>22</x:v>
      </x:c>
      <x:c r="B10" s="52" t="n">
        <x:f>((SOTP!$C$5*B$5*$A10+SOTP!$C$16+SOTP!$C$21-SOTP!$C$24)*SOTP!$C$27+SOTP!$C$29)*1000/SOTP!$C$30</x:f>
        <x:v>118.9993870659658</x:v>
      </x:c>
      <x:c r="C10" s="52" t="n">
        <x:f>((SOTP!$C$5*C$5*$A10+SOTP!$C$16+SOTP!$C$21-SOTP!$C$24)*SOTP!$C$27+SOTP!$C$29)*1000/SOTP!$C$30</x:f>
        <x:v>127.01906542952358</x:v>
      </x:c>
      <x:c r="D10" s="52" t="n">
        <x:f>((SOTP!$C$5*D$5*$A10+SOTP!$C$16+SOTP!$C$21-SOTP!$C$24)*SOTP!$C$27+SOTP!$C$29)*1000/SOTP!$C$30</x:f>
        <x:v>135.03874379308132</x:v>
      </x:c>
      <x:c r="E10" s="52" t="n">
        <x:f>((SOTP!$C$5*E$5*$A10+SOTP!$C$16+SOTP!$C$21-SOTP!$C$24)*SOTP!$C$27+SOTP!$C$29)*1000/SOTP!$C$30</x:f>
        <x:v>143.0584221566391</x:v>
      </x:c>
      <x:c r="F10" s="52" t="n">
        <x:f>((SOTP!$C$5*F$5*$A10+SOTP!$C$16+SOTP!$C$21-SOTP!$C$24)*SOTP!$C$27+SOTP!$C$29)*1000/SOTP!$C$30</x:f>
        <x:v>151.0781005201968</x:v>
      </x:c>
      <x:c r="G10" s="52" t="n">
        <x:f>((SOTP!$C$5*G$5*$A10+SOTP!$C$16+SOTP!$C$21-SOTP!$C$24)*SOTP!$C$27+SOTP!$C$29)*1000/SOTP!$C$30</x:f>
        <x:v>159.09777888375456</x:v>
      </x:c>
    </x:row>
    <x:row r="11">
      <x:c r="A11" s="90" t="n">
        <x:v>24</x:v>
      </x:c>
      <x:c r="B11" s="52" t="n">
        <x:f>((SOTP!$C$5*B$5*$A11+SOTP!$C$16+SOTP!$C$21-SOTP!$C$24)*SOTP!$C$27+SOTP!$C$29)*1000/SOTP!$C$30</x:f>
        <x:v>122.64469541303754</x:v>
      </x:c>
      <x:c r="C11" s="52" t="n">
        <x:f>((SOTP!$C$5*C$5*$A11+SOTP!$C$16+SOTP!$C$21-SOTP!$C$24)*SOTP!$C$27+SOTP!$C$29)*1000/SOTP!$C$30</x:f>
        <x:v>131.3934354460096</x:v>
      </x:c>
      <x:c r="D11" s="52" t="n">
        <x:f>((SOTP!$C$5*D$5*$A11+SOTP!$C$16+SOTP!$C$21-SOTP!$C$24)*SOTP!$C$27+SOTP!$C$29)*1000/SOTP!$C$30</x:f>
        <x:v>140.1421754789817</x:v>
      </x:c>
      <x:c r="E11" s="52" t="n">
        <x:f>((SOTP!$C$5*E$5*$A11+SOTP!$C$16+SOTP!$C$21-SOTP!$C$24)*SOTP!$C$27+SOTP!$C$29)*1000/SOTP!$C$30</x:f>
        <x:v>148.89091551195378</x:v>
      </x:c>
      <x:c r="F11" s="52" t="n">
        <x:f>((SOTP!$C$5*F$5*$A11+SOTP!$C$16+SOTP!$C$21-SOTP!$C$24)*SOTP!$C$27+SOTP!$C$29)*1000/SOTP!$C$30</x:f>
        <x:v>157.6396555449259</x:v>
      </x:c>
      <x:c r="G11" s="52" t="n">
        <x:f>((SOTP!$C$5*G$5*$A11+SOTP!$C$16+SOTP!$C$21-SOTP!$C$24)*SOTP!$C$27+SOTP!$C$29)*1000/SOTP!$C$30</x:f>
        <x:v>166.38839557789797</x:v>
      </x:c>
    </x:row>
    <x:row r="12">
      <x:c r="A12" s="90" t="n">
        <x:v>26</x:v>
      </x:c>
      <x:c r="B12" s="52" t="n">
        <x:f>((SOTP!$C$5*B$5*$A12+SOTP!$C$16+SOTP!$C$21-SOTP!$C$24)*SOTP!$C$27+SOTP!$C$29)*1000/SOTP!$C$30</x:f>
        <x:v>126.29000376010922</x:v>
      </x:c>
      <x:c r="C12" s="52" t="n">
        <x:f>((SOTP!$C$5*C$5*$A12+SOTP!$C$16+SOTP!$C$21-SOTP!$C$24)*SOTP!$C$27+SOTP!$C$29)*1000/SOTP!$C$30</x:f>
        <x:v>135.76780546249566</x:v>
      </x:c>
      <x:c r="D12" s="52" t="n">
        <x:f>((SOTP!$C$5*D$5*$A12+SOTP!$C$16+SOTP!$C$21-SOTP!$C$24)*SOTP!$C$27+SOTP!$C$29)*1000/SOTP!$C$30</x:f>
        <x:v>145.24560716488207</x:v>
      </x:c>
      <x:c r="E12" s="52" t="n">
        <x:f>((SOTP!$C$5*E$5*$A12+SOTP!$C$16+SOTP!$C$21-SOTP!$C$24)*SOTP!$C$27+SOTP!$C$29)*1000/SOTP!$C$30</x:f>
        <x:v>154.72340886726852</x:v>
      </x:c>
      <x:c r="F12" s="52" t="n">
        <x:f>((SOTP!$C$5*F$5*$A12+SOTP!$C$16+SOTP!$C$21-SOTP!$C$24)*SOTP!$C$27+SOTP!$C$29)*1000/SOTP!$C$30</x:f>
        <x:v>164.20121056965493</x:v>
      </x:c>
      <x:c r="G12" s="52" t="n">
        <x:f>((SOTP!$C$5*G$5*$A12+SOTP!$C$16+SOTP!$C$21-SOTP!$C$24)*SOTP!$C$27+SOTP!$C$29)*1000/SOTP!$C$30</x:f>
        <x:v>173.67901227204135</x:v>
      </x:c>
    </x:row>
    <x:row r="15">
      <x:c r="A15" s="63" t="str">
        <x:v>SOTP Value / Share — Monee EBITDA Margin vs P/E Multiple</x:v>
      </x:c>
      <x:c r="B15" s="63" t="str">
        <x:v>SOTP Value / Share — Monee EBITDA Margin vs P/E Multiple</x:v>
      </x:c>
      <x:c r="C15" s="63" t="str">
        <x:v>SOTP Value / Share — Monee EBITDA Margin vs P/E Multiple</x:v>
      </x:c>
      <x:c r="D15" s="63" t="str">
        <x:v>SOTP Value / Share — Monee EBITDA Margin vs P/E Multiple</x:v>
      </x:c>
      <x:c r="E15" s="63" t="str">
        <x:v>SOTP Value / Share — Monee EBITDA Margin vs P/E Multiple</x:v>
      </x:c>
      <x:c r="F15" s="63" t="str">
        <x:v>SOTP Value / Share — Monee EBITDA Margin vs P/E Multiple</x:v>
      </x:c>
      <x:c r="G15" s="63" t="str">
        <x:v>SOTP Value / Share — Monee EBITDA Margin vs P/E Multiple</x:v>
      </x:c>
      <x:c r="H15" s="63" t="str">
        <x:v>SOTP Value / Share — Monee EBITDA Margin vs P/E Multiple</x:v>
      </x:c>
    </x:row>
    <x:row r="16">
      <x:c r="B16" s="37" t="n">
        <x:v>0.2</x:v>
      </x:c>
      <x:c r="C16" s="37" t="n">
        <x:v>0.24</x:v>
      </x:c>
      <x:c r="D16" s="37" t="n">
        <x:v>0.28</x:v>
      </x:c>
      <x:c r="E16" s="37" t="n">
        <x:v>0.32</x:v>
      </x:c>
      <x:c r="F16" s="37" t="n">
        <x:v>0.36</x:v>
      </x:c>
      <x:c r="G16" s="37" t="n">
        <x:v>0.4</x:v>
      </x:c>
    </x:row>
    <x:row r="17">
      <x:c r="A17" s="90" t="n">
        <x:v>14</x:v>
      </x:c>
      <x:c r="B17" s="52" t="n">
        <x:f>((SOTP!$C$9+(SOTP!$C$10*B$16*SOTP!$C$13*$A17)+SOTP!$C$21-SOTP!$C$24)*SOTP!$C$27+SOTP!$C$29)*1000/SOTP!$C$30</x:f>
        <x:v>107.54579747657564</x:v>
      </x:c>
      <x:c r="C17" s="52" t="n">
        <x:f>((SOTP!$C$9+(SOTP!$C$10*C$16*SOTP!$C$13*$A17)+SOTP!$C$21-SOTP!$C$24)*SOTP!$C$27+SOTP!$C$29)*1000/SOTP!$C$30</x:f>
        <x:v>112.0237004026967</x:v>
      </x:c>
      <x:c r="D17" s="52" t="n">
        <x:f>((SOTP!$C$9+(SOTP!$C$10*D$16*SOTP!$C$13*$A17)+SOTP!$C$21-SOTP!$C$24)*SOTP!$C$27+SOTP!$C$29)*1000/SOTP!$C$30</x:f>
        <x:v>116.50160332881777</x:v>
      </x:c>
      <x:c r="E17" s="52" t="n">
        <x:f>((SOTP!$C$9+(SOTP!$C$10*E$16*SOTP!$C$13*$A17)+SOTP!$C$21-SOTP!$C$24)*SOTP!$C$27+SOTP!$C$29)*1000/SOTP!$C$30</x:f>
        <x:v>120.97950625493884</x:v>
      </x:c>
      <x:c r="F17" s="52" t="n">
        <x:f>((SOTP!$C$9+(SOTP!$C$10*F$16*SOTP!$C$13*$A17)+SOTP!$C$21-SOTP!$C$24)*SOTP!$C$27+SOTP!$C$29)*1000/SOTP!$C$30</x:f>
        <x:v>125.45740918105987</x:v>
      </x:c>
      <x:c r="G17" s="52" t="n">
        <x:f>((SOTP!$C$9+(SOTP!$C$10*G$16*SOTP!$C$13*$A17)+SOTP!$C$21-SOTP!$C$24)*SOTP!$C$27+SOTP!$C$29)*1000/SOTP!$C$30</x:f>
        <x:v>129.93531210718092</x:v>
      </x:c>
    </x:row>
    <x:row r="18">
      <x:c r="A18" s="90" t="n">
        <x:v>16</x:v>
      </x:c>
      <x:c r="B18" s="52" t="n">
        <x:f>((SOTP!$C$9+(SOTP!$C$10*B$16*SOTP!$C$13*$A18)+SOTP!$C$21-SOTP!$C$24)*SOTP!$C$27+SOTP!$C$29)*1000/SOTP!$C$30</x:f>
        <x:v>110.74429956666214</x:v>
      </x:c>
      <x:c r="C18" s="52" t="n">
        <x:f>((SOTP!$C$9+(SOTP!$C$10*C$16*SOTP!$C$13*$A18)+SOTP!$C$21-SOTP!$C$24)*SOTP!$C$27+SOTP!$C$29)*1000/SOTP!$C$30</x:f>
        <x:v>115.86190291080045</x:v>
      </x:c>
      <x:c r="D18" s="52" t="n">
        <x:f>((SOTP!$C$9+(SOTP!$C$10*D$16*SOTP!$C$13*$A18)+SOTP!$C$21-SOTP!$C$24)*SOTP!$C$27+SOTP!$C$29)*1000/SOTP!$C$30</x:f>
        <x:v>120.97950625493884</x:v>
      </x:c>
      <x:c r="E18" s="52" t="n">
        <x:f>((SOTP!$C$9+(SOTP!$C$10*E$16*SOTP!$C$13*$A18)+SOTP!$C$21-SOTP!$C$24)*SOTP!$C$27+SOTP!$C$29)*1000/SOTP!$C$30</x:f>
        <x:v>126.09710959907719</x:v>
      </x:c>
      <x:c r="F18" s="52" t="n">
        <x:f>((SOTP!$C$9+(SOTP!$C$10*F$16*SOTP!$C$13*$A18)+SOTP!$C$21-SOTP!$C$24)*SOTP!$C$27+SOTP!$C$29)*1000/SOTP!$C$30</x:f>
        <x:v>131.2147129432155</x:v>
      </x:c>
      <x:c r="G18" s="52" t="n">
        <x:f>((SOTP!$C$9+(SOTP!$C$10*G$16*SOTP!$C$13*$A18)+SOTP!$C$21-SOTP!$C$24)*SOTP!$C$27+SOTP!$C$29)*1000/SOTP!$C$30</x:f>
        <x:v>136.33231628735388</x:v>
      </x:c>
    </x:row>
    <x:row r="19">
      <x:c r="A19" s="90" t="n">
        <x:v>18</x:v>
      </x:c>
      <x:c r="B19" s="52" t="n">
        <x:f>((SOTP!$C$9+(SOTP!$C$10*B$16*SOTP!$C$13*$A19)+SOTP!$C$21-SOTP!$C$24)*SOTP!$C$27+SOTP!$C$29)*1000/SOTP!$C$30</x:f>
        <x:v>113.94280165674859</x:v>
      </x:c>
      <x:c r="C19" s="52" t="n">
        <x:f>((SOTP!$C$9+(SOTP!$C$10*C$16*SOTP!$C$13*$A19)+SOTP!$C$21-SOTP!$C$24)*SOTP!$C$27+SOTP!$C$29)*1000/SOTP!$C$30</x:f>
        <x:v>119.70010541890422</x:v>
      </x:c>
      <x:c r="D19" s="52" t="n">
        <x:f>((SOTP!$C$9+(SOTP!$C$10*D$16*SOTP!$C$13*$A19)+SOTP!$C$21-SOTP!$C$24)*SOTP!$C$27+SOTP!$C$29)*1000/SOTP!$C$30</x:f>
        <x:v>125.45740918105987</x:v>
      </x:c>
      <x:c r="E19" s="52" t="n">
        <x:f>((SOTP!$C$9+(SOTP!$C$10*E$16*SOTP!$C$13*$A19)+SOTP!$C$21-SOTP!$C$24)*SOTP!$C$27+SOTP!$C$29)*1000/SOTP!$C$30</x:f>
        <x:v>131.21471294321552</x:v>
      </x:c>
      <x:c r="F19" s="52" t="n">
        <x:f>((SOTP!$C$9+(SOTP!$C$10*F$16*SOTP!$C$13*$A19)+SOTP!$C$21-SOTP!$C$24)*SOTP!$C$27+SOTP!$C$29)*1000/SOTP!$C$30</x:f>
        <x:v>136.97201670537115</x:v>
      </x:c>
      <x:c r="G19" s="52" t="n">
        <x:f>((SOTP!$C$9+(SOTP!$C$10*G$16*SOTP!$C$13*$A19)+SOTP!$C$21-SOTP!$C$24)*SOTP!$C$27+SOTP!$C$29)*1000/SOTP!$C$30</x:f>
        <x:v>142.7293204675268</x:v>
      </x:c>
    </x:row>
    <x:row r="20">
      <x:c r="A20" s="90" t="n">
        <x:v>20</x:v>
      </x:c>
      <x:c r="B20" s="52" t="n">
        <x:f>((SOTP!$C$9+(SOTP!$C$10*B$16*SOTP!$C$13*$A20)+SOTP!$C$21-SOTP!$C$24)*SOTP!$C$27+SOTP!$C$29)*1000/SOTP!$C$30</x:f>
        <x:v>117.14130374683506</x:v>
      </x:c>
      <x:c r="C20" s="52" t="n">
        <x:f>((SOTP!$C$9+(SOTP!$C$10*C$16*SOTP!$C$13*$A20)+SOTP!$C$21-SOTP!$C$24)*SOTP!$C$27+SOTP!$C$29)*1000/SOTP!$C$30</x:f>
        <x:v>123.53830792700799</x:v>
      </x:c>
      <x:c r="D20" s="52" t="n">
        <x:f>((SOTP!$C$9+(SOTP!$C$10*D$16*SOTP!$C$13*$A20)+SOTP!$C$21-SOTP!$C$24)*SOTP!$C$27+SOTP!$C$29)*1000/SOTP!$C$30</x:f>
        <x:v>129.93531210718095</x:v>
      </x:c>
      <x:c r="E20" s="52" t="n">
        <x:f>((SOTP!$C$9+(SOTP!$C$10*E$16*SOTP!$C$13*$A20)+SOTP!$C$21-SOTP!$C$24)*SOTP!$C$27+SOTP!$C$29)*1000/SOTP!$C$30</x:f>
        <x:v>136.33231628735388</x:v>
      </x:c>
      <x:c r="F20" s="52" t="n">
        <x:f>((SOTP!$C$9+(SOTP!$C$10*F$16*SOTP!$C$13*$A20)+SOTP!$C$21-SOTP!$C$24)*SOTP!$C$27+SOTP!$C$29)*1000/SOTP!$C$30</x:f>
        <x:v>142.7293204675268</x:v>
      </x:c>
      <x:c r="G20" s="52" t="n">
        <x:f>((SOTP!$C$9+(SOTP!$C$10*G$16*SOTP!$C$13*$A20)+SOTP!$C$21-SOTP!$C$24)*SOTP!$C$27+SOTP!$C$29)*1000/SOTP!$C$30</x:f>
        <x:v>149.12632464769973</x:v>
      </x:c>
    </x:row>
    <x:row r="21">
      <x:c r="A21" s="90" t="n">
        <x:v>22</x:v>
      </x:c>
      <x:c r="B21" s="52" t="n">
        <x:f>((SOTP!$C$9+(SOTP!$C$10*B$16*SOTP!$C$13*$A21)+SOTP!$C$21-SOTP!$C$24)*SOTP!$C$27+SOTP!$C$29)*1000/SOTP!$C$30</x:f>
        <x:v>120.33980583692153</x:v>
      </x:c>
      <x:c r="C21" s="52" t="n">
        <x:f>((SOTP!$C$9+(SOTP!$C$10*C$16*SOTP!$C$13*$A21)+SOTP!$C$21-SOTP!$C$24)*SOTP!$C$27+SOTP!$C$29)*1000/SOTP!$C$30</x:f>
        <x:v>127.37651043511175</x:v>
      </x:c>
      <x:c r="D21" s="52" t="n">
        <x:f>((SOTP!$C$9+(SOTP!$C$10*D$16*SOTP!$C$13*$A21)+SOTP!$C$21-SOTP!$C$24)*SOTP!$C$27+SOTP!$C$29)*1000/SOTP!$C$30</x:f>
        <x:v>134.41321503330198</x:v>
      </x:c>
      <x:c r="E21" s="52" t="n">
        <x:f>((SOTP!$C$9+(SOTP!$C$10*E$16*SOTP!$C$13*$A21)+SOTP!$C$21-SOTP!$C$24)*SOTP!$C$27+SOTP!$C$29)*1000/SOTP!$C$30</x:f>
        <x:v>141.44991963149224</x:v>
      </x:c>
      <x:c r="F21" s="52" t="n">
        <x:f>((SOTP!$C$9+(SOTP!$C$10*F$16*SOTP!$C$13*$A21)+SOTP!$C$21-SOTP!$C$24)*SOTP!$C$27+SOTP!$C$29)*1000/SOTP!$C$30</x:f>
        <x:v>148.4866242296824</x:v>
      </x:c>
      <x:c r="G21" s="52" t="n">
        <x:f>((SOTP!$C$9+(SOTP!$C$10*G$16*SOTP!$C$13*$A21)+SOTP!$C$21-SOTP!$C$24)*SOTP!$C$27+SOTP!$C$29)*1000/SOTP!$C$30</x:f>
        <x:v>155.52332882787266</x:v>
      </x:c>
    </x:row>
    <x:row r="22">
      <x:c r="A22" s="90" t="n">
        <x:v>24</x:v>
      </x:c>
      <x:c r="B22" s="52" t="n">
        <x:f>((SOTP!$C$9+(SOTP!$C$10*B$16*SOTP!$C$13*$A22)+SOTP!$C$21-SOTP!$C$24)*SOTP!$C$27+SOTP!$C$29)*1000/SOTP!$C$30</x:f>
        <x:v>123.53830792700799</x:v>
      </x:c>
      <x:c r="C22" s="52" t="n">
        <x:f>((SOTP!$C$9+(SOTP!$C$10*C$16*SOTP!$C$13*$A22)+SOTP!$C$21-SOTP!$C$24)*SOTP!$C$27+SOTP!$C$29)*1000/SOTP!$C$30</x:f>
        <x:v>131.2147129432155</x:v>
      </x:c>
      <x:c r="D22" s="52" t="n">
        <x:f>((SOTP!$C$9+(SOTP!$C$10*D$16*SOTP!$C$13*$A22)+SOTP!$C$21-SOTP!$C$24)*SOTP!$C$27+SOTP!$C$29)*1000/SOTP!$C$30</x:f>
        <x:v>138.89111795942304</x:v>
      </x:c>
      <x:c r="E22" s="52" t="n">
        <x:f>((SOTP!$C$9+(SOTP!$C$10*E$16*SOTP!$C$13*$A22)+SOTP!$C$21-SOTP!$C$24)*SOTP!$C$27+SOTP!$C$29)*1000/SOTP!$C$30</x:f>
        <x:v>146.56752297563057</x:v>
      </x:c>
      <x:c r="F22" s="52" t="n">
        <x:f>((SOTP!$C$9+(SOTP!$C$10*F$16*SOTP!$C$13*$A22)+SOTP!$C$21-SOTP!$C$24)*SOTP!$C$27+SOTP!$C$29)*1000/SOTP!$C$30</x:f>
        <x:v>154.2439279918381</x:v>
      </x:c>
      <x:c r="G22" s="52" t="n">
        <x:f>((SOTP!$C$9+(SOTP!$C$10*G$16*SOTP!$C$13*$A22)+SOTP!$C$21-SOTP!$C$24)*SOTP!$C$27+SOTP!$C$29)*1000/SOTP!$C$30</x:f>
        <x:v>161.92033300804562</x:v>
      </x:c>
    </x:row>
    <x:row r="23">
      <x:c r="A23" s="90" t="n">
        <x:v>26</x:v>
      </x:c>
      <x:c r="B23" s="52" t="n">
        <x:f>((SOTP!$C$9+(SOTP!$C$10*B$16*SOTP!$C$13*$A23)+SOTP!$C$21-SOTP!$C$24)*SOTP!$C$27+SOTP!$C$29)*1000/SOTP!$C$30</x:f>
        <x:v>126.73681001709444</x:v>
      </x:c>
      <x:c r="C23" s="52" t="n">
        <x:f>((SOTP!$C$9+(SOTP!$C$10*C$16*SOTP!$C$13*$A23)+SOTP!$C$21-SOTP!$C$24)*SOTP!$C$27+SOTP!$C$29)*1000/SOTP!$C$30</x:f>
        <x:v>135.05291545131925</x:v>
      </x:c>
      <x:c r="D23" s="52" t="n">
        <x:f>((SOTP!$C$9+(SOTP!$C$10*D$16*SOTP!$C$13*$A23)+SOTP!$C$21-SOTP!$C$24)*SOTP!$C$27+SOTP!$C$29)*1000/SOTP!$C$30</x:f>
        <x:v>143.3690208855441</x:v>
      </x:c>
      <x:c r="E23" s="52" t="n">
        <x:f>((SOTP!$C$9+(SOTP!$C$10*E$16*SOTP!$C$13*$A23)+SOTP!$C$21-SOTP!$C$24)*SOTP!$C$27+SOTP!$C$29)*1000/SOTP!$C$30</x:f>
        <x:v>151.68512631976893</x:v>
      </x:c>
      <x:c r="F23" s="52" t="n">
        <x:f>((SOTP!$C$9+(SOTP!$C$10*F$16*SOTP!$C$13*$A23)+SOTP!$C$21-SOTP!$C$24)*SOTP!$C$27+SOTP!$C$29)*1000/SOTP!$C$30</x:f>
        <x:v>160.0012317539937</x:v>
      </x:c>
      <x:c r="G23" s="52" t="n">
        <x:f>((SOTP!$C$9+(SOTP!$C$10*G$16*SOTP!$C$13*$A23)+SOTP!$C$21-SOTP!$C$24)*SOTP!$C$27+SOTP!$C$29)*1000/SOTP!$C$30</x:f>
        <x:v>168.31733718821857</x:v>
      </x:c>
    </x:row>
    <x:row r="26">
      <x:c r="A26" s="63" t="str">
        <x:v>DCF Value / Share — WACC vs Terminal Growth</x:v>
      </x:c>
      <x:c r="B26" s="63" t="str">
        <x:v>DCF Value / Share — WACC vs Terminal Growth</x:v>
      </x:c>
      <x:c r="C26" s="63" t="str">
        <x:v>DCF Value / Share — WACC vs Terminal Growth</x:v>
      </x:c>
      <x:c r="D26" s="63" t="str">
        <x:v>DCF Value / Share — WACC vs Terminal Growth</x:v>
      </x:c>
      <x:c r="E26" s="63" t="str">
        <x:v>DCF Value / Share — WACC vs Terminal Growth</x:v>
      </x:c>
      <x:c r="F26" s="63" t="str">
        <x:v>DCF Value / Share — WACC vs Terminal Growth</x:v>
      </x:c>
      <x:c r="G26" s="63" t="str">
        <x:v>DCF Value / Share — WACC vs Terminal Growth</x:v>
      </x:c>
      <x:c r="H26" s="63" t="str">
        <x:v>DCF Value / Share — WACC vs Terminal Growth</x:v>
      </x:c>
    </x:row>
    <x:row r="27">
      <x:c r="B27" s="37" t="n">
        <x:v>0.015</x:v>
      </x:c>
      <x:c r="C27" s="37" t="n">
        <x:v>0.02</x:v>
      </x:c>
      <x:c r="D27" s="37" t="n">
        <x:v>0.025</x:v>
      </x:c>
      <x:c r="E27" s="37" t="n">
        <x:v>0.03</x:v>
      </x:c>
      <x:c r="F27" s="37" t="n">
        <x:v>0.035</x:v>
      </x:c>
    </x:row>
    <x:row r="28">
      <x:c r="A28" s="37" t="n">
        <x:v>0.1</x:v>
      </x:c>
      <x:c r="B28" s="52" t="n">
        <x:f>((Forecast!B63/(1+$A28)^0.4+Forecast!C63/(1+$A28)^1.4+Forecast!D63/(1+$A28)^2.4+Forecast!E63/(1+$A28)^3.4+Forecast!F63/(1+$A28)^4.4+Forecast!G63/(1+$A28)^5.4+Forecast!H63/(1+$A28)^6.4+Forecast!I63/(1+$A28)^7.4+Forecast!J63/(1+$A28)^8.4+Forecast!K63/(1+$A28)^9.4)+(Forecast!K63*(1+B$27)/($A28-B$27))/(1+$A28)^9.4+CapitalStructure!$B$11)*1000/CapitalStructure!$B$13</x:f>
        <x:v>189.059277691692</x:v>
      </x:c>
      <x:c r="C28" s="52" t="n">
        <x:f>((Forecast!B63/(1+$A28)^0.4+Forecast!C63/(1+$A28)^1.4+Forecast!D63/(1+$A28)^2.4+Forecast!E63/(1+$A28)^3.4+Forecast!F63/(1+$A28)^4.4+Forecast!G63/(1+$A28)^5.4+Forecast!H63/(1+$A28)^6.4+Forecast!I63/(1+$A28)^7.4+Forecast!J63/(1+$A28)^8.4+Forecast!K63/(1+$A28)^9.4)+(Forecast!K63*(1+C$27)/($A28-C$27))/(1+$A28)^9.4+CapitalStructure!$B$11)*1000/CapitalStructure!$B$13</x:f>
        <x:v>196.34856568971117</x:v>
      </x:c>
      <x:c r="D28" s="52" t="n">
        <x:f>((Forecast!B63/(1+$A28)^0.4+Forecast!C63/(1+$A28)^1.4+Forecast!D63/(1+$A28)^2.4+Forecast!E63/(1+$A28)^3.4+Forecast!F63/(1+$A28)^4.4+Forecast!G63/(1+$A28)^5.4+Forecast!H63/(1+$A28)^6.4+Forecast!I63/(1+$A28)^7.4+Forecast!J63/(1+$A28)^8.4+Forecast!K63/(1+$A28)^9.4)+(Forecast!K63*(1+D$27)/($A28-D$27))/(1+$A28)^9.4+CapitalStructure!$B$11)*1000/CapitalStructure!$B$13</x:f>
        <x:v>204.60975875413286</x:v>
      </x:c>
      <x:c r="E28" s="52" t="n">
        <x:f>((Forecast!B63/(1+$A28)^0.4+Forecast!C63/(1+$A28)^1.4+Forecast!D63/(1+$A28)^2.4+Forecast!E63/(1+$A28)^3.4+Forecast!F63/(1+$A28)^4.4+Forecast!G63/(1+$A28)^5.4+Forecast!H63/(1+$A28)^6.4+Forecast!I63/(1+$A28)^7.4+Forecast!J63/(1+$A28)^8.4+Forecast!K63/(1+$A28)^9.4)+(Forecast!K63*(1+E$27)/($A28-E$27))/(1+$A28)^9.4+CapitalStructure!$B$11)*1000/CapitalStructure!$B$13</x:f>
        <x:v>214.05112225632917</x:v>
      </x:c>
      <x:c r="F28" s="52" t="n">
        <x:f>((Forecast!B63/(1+$A28)^0.4+Forecast!C63/(1+$A28)^1.4+Forecast!D63/(1+$A28)^2.4+Forecast!E63/(1+$A28)^3.4+Forecast!F63/(1+$A28)^4.4+Forecast!G63/(1+$A28)^5.4+Forecast!H63/(1+$A28)^6.4+Forecast!I63/(1+$A28)^7.4+Forecast!J63/(1+$A28)^8.4+Forecast!K63/(1+$A28)^9.4)+(Forecast!K63*(1+F$27)/($A28-F$27))/(1+$A28)^9.4+CapitalStructure!$B$11)*1000/CapitalStructure!$B$13</x:f>
        <x:v>224.9450032204017</x:v>
      </x:c>
    </x:row>
    <x:row r="29">
      <x:c r="A29" s="37" t="n">
        <x:v>0.11</x:v>
      </x:c>
      <x:c r="B29" s="52" t="n">
        <x:f>((Forecast!B63/(1+$A29)^0.4+Forecast!C63/(1+$A29)^1.4+Forecast!D63/(1+$A29)^2.4+Forecast!E63/(1+$A29)^3.4+Forecast!F63/(1+$A29)^4.4+Forecast!G63/(1+$A29)^5.4+Forecast!H63/(1+$A29)^6.4+Forecast!I63/(1+$A29)^7.4+Forecast!J63/(1+$A29)^8.4+Forecast!K63/(1+$A29)^9.4)+(Forecast!K63*(1+B$27)/($A29-B$27))/(1+$A29)^9.4+CapitalStructure!$B$11)*1000/CapitalStructure!$B$13</x:f>
        <x:v>166.3721633143662</x:v>
      </x:c>
      <x:c r="C29" s="52" t="n">
        <x:f>((Forecast!B63/(1+$A29)^0.4+Forecast!C63/(1+$A29)^1.4+Forecast!D63/(1+$A29)^2.4+Forecast!E63/(1+$A29)^3.4+Forecast!F63/(1+$A29)^4.4+Forecast!G63/(1+$A29)^5.4+Forecast!H63/(1+$A29)^6.4+Forecast!I63/(1+$A29)^7.4+Forecast!J63/(1+$A29)^8.4+Forecast!K63/(1+$A29)^9.4)+(Forecast!K63*(1+C$27)/($A29-C$27))/(1+$A29)^9.4+CapitalStructure!$B$11)*1000/CapitalStructure!$B$13</x:f>
        <x:v>171.74512125500908</x:v>
      </x:c>
      <x:c r="D29" s="52" t="n">
        <x:f>((Forecast!B63/(1+$A29)^0.4+Forecast!C63/(1+$A29)^1.4+Forecast!D63/(1+$A29)^2.4+Forecast!E63/(1+$A29)^3.4+Forecast!F63/(1+$A29)^4.4+Forecast!G63/(1+$A29)^5.4+Forecast!H63/(1+$A29)^6.4+Forecast!I63/(1+$A29)^7.4+Forecast!J63/(1+$A29)^8.4+Forecast!K63/(1+$A29)^9.4)+(Forecast!K63*(1+D$27)/($A29-D$27))/(1+$A29)^9.4+CapitalStructure!$B$11)*1000/CapitalStructure!$B$13</x:f>
        <x:v>177.7501918945511</x:v>
      </x:c>
      <x:c r="E29" s="52" t="n">
        <x:f>((Forecast!B63/(1+$A29)^0.4+Forecast!C63/(1+$A29)^1.4+Forecast!D63/(1+$A29)^2.4+Forecast!E63/(1+$A29)^3.4+Forecast!F63/(1+$A29)^4.4+Forecast!G63/(1+$A29)^5.4+Forecast!H63/(1+$A29)^6.4+Forecast!I63/(1+$A29)^7.4+Forecast!J63/(1+$A29)^8.4+Forecast!K63/(1+$A29)^9.4)+(Forecast!K63*(1+E$27)/($A29-E$27))/(1+$A29)^9.4+CapitalStructure!$B$11)*1000/CapitalStructure!$B$13</x:f>
        <x:v>184.5058963640359</x:v>
      </x:c>
      <x:c r="F29" s="52" t="n">
        <x:f>((Forecast!B63/(1+$A29)^0.4+Forecast!C63/(1+$A29)^1.4+Forecast!D63/(1+$A29)^2.4+Forecast!E63/(1+$A29)^3.4+Forecast!F63/(1+$A29)^4.4+Forecast!G63/(1+$A29)^5.4+Forecast!H63/(1+$A29)^6.4+Forecast!I63/(1+$A29)^7.4+Forecast!J63/(1+$A29)^8.4+Forecast!K63/(1+$A29)^9.4)+(Forecast!K63*(1+F$27)/($A29-F$27))/(1+$A29)^9.4+CapitalStructure!$B$11)*1000/CapitalStructure!$B$13</x:f>
        <x:v>192.16236142945195</x:v>
      </x:c>
    </x:row>
    <x:row r="30">
      <x:c r="A30" s="37" t="n">
        <x:v>0.12</x:v>
      </x:c>
      <x:c r="B30" s="52" t="n">
        <x:f>((Forecast!B63/(1+$A30)^0.4+Forecast!C63/(1+$A30)^1.4+Forecast!D63/(1+$A30)^2.4+Forecast!E63/(1+$A30)^3.4+Forecast!F63/(1+$A30)^4.4+Forecast!G63/(1+$A30)^5.4+Forecast!H63/(1+$A30)^6.4+Forecast!I63/(1+$A30)^7.4+Forecast!J63/(1+$A30)^8.4+Forecast!K63/(1+$A30)^9.4)+(Forecast!K63*(1+B$27)/($A30-B$27))/(1+$A30)^9.4+CapitalStructure!$B$11)*1000/CapitalStructure!$B$13</x:f>
        <x:v>148.21371910562095</x:v>
      </x:c>
      <x:c r="C30" s="52" t="n">
        <x:f>((Forecast!B63/(1+$A30)^0.4+Forecast!C63/(1+$A30)^1.4+Forecast!D63/(1+$A30)^2.4+Forecast!E63/(1+$A30)^3.4+Forecast!F63/(1+$A30)^4.4+Forecast!G63/(1+$A30)^5.4+Forecast!H63/(1+$A30)^6.4+Forecast!I63/(1+$A30)^7.4+Forecast!J63/(1+$A30)^8.4+Forecast!K63/(1+$A30)^9.4)+(Forecast!K63*(1+C$27)/($A30-C$27))/(1+$A30)^9.4+CapitalStructure!$B$11)*1000/CapitalStructure!$B$13</x:f>
        <x:v>152.27134392163742</x:v>
      </x:c>
      <x:c r="D30" s="52" t="n">
        <x:f>((Forecast!B63/(1+$A30)^0.4+Forecast!C63/(1+$A30)^1.4+Forecast!D63/(1+$A30)^2.4+Forecast!E63/(1+$A30)^3.4+Forecast!F63/(1+$A30)^4.4+Forecast!G63/(1+$A30)^5.4+Forecast!H63/(1+$A30)^6.4+Forecast!I63/(1+$A30)^7.4+Forecast!J63/(1+$A30)^8.4+Forecast!K63/(1+$A30)^9.4)+(Forecast!K63*(1+D$27)/($A30-D$27))/(1+$A30)^9.4+CapitalStructure!$B$11)*1000/CapitalStructure!$B$13</x:f>
        <x:v>156.75608713933974</x:v>
      </x:c>
      <x:c r="E30" s="52" t="n">
        <x:f>((Forecast!B63/(1+$A30)^0.4+Forecast!C63/(1+$A30)^1.4+Forecast!D63/(1+$A30)^2.4+Forecast!E63/(1+$A30)^3.4+Forecast!F63/(1+$A30)^4.4+Forecast!G63/(1+$A30)^5.4+Forecast!H63/(1+$A30)^6.4+Forecast!I63/(1+$A30)^7.4+Forecast!J63/(1+$A30)^8.4+Forecast!K63/(1+$A30)^9.4)+(Forecast!K63*(1+E$27)/($A30-E$27))/(1+$A30)^9.4+CapitalStructure!$B$11)*1000/CapitalStructure!$B$13</x:f>
        <x:v>161.7391351590091</x:v>
      </x:c>
      <x:c r="F30" s="52" t="n">
        <x:f>((Forecast!B63/(1+$A30)^0.4+Forecast!C63/(1+$A30)^1.4+Forecast!D63/(1+$A30)^2.4+Forecast!E63/(1+$A30)^3.4+Forecast!F63/(1+$A30)^4.4+Forecast!G63/(1+$A30)^5.4+Forecast!H63/(1+$A30)^6.4+Forecast!I63/(1+$A30)^7.4+Forecast!J63/(1+$A30)^8.4+Forecast!K63/(1+$A30)^9.4)+(Forecast!K63*(1+F$27)/($A30-F$27))/(1+$A30)^9.4+CapitalStructure!$B$11)*1000/CapitalStructure!$B$13</x:f>
        <x:v>167.3084241221689</x:v>
      </x:c>
    </x:row>
    <x:row r="31">
      <x:c r="A31" s="37" t="n">
        <x:v>0.125</x:v>
      </x:c>
      <x:c r="B31" s="52" t="n">
        <x:f>((Forecast!B63/(1+$A31)^0.4+Forecast!C63/(1+$A31)^1.4+Forecast!D63/(1+$A31)^2.4+Forecast!E63/(1+$A31)^3.4+Forecast!F63/(1+$A31)^4.4+Forecast!G63/(1+$A31)^5.4+Forecast!H63/(1+$A31)^6.4+Forecast!I63/(1+$A31)^7.4+Forecast!J63/(1+$A31)^8.4+Forecast!K63/(1+$A31)^9.4)+(Forecast!K63*(1+B$27)/($A31-B$27))/(1+$A31)^9.4+CapitalStructure!$B$11)*1000/CapitalStructure!$B$13</x:f>
        <x:v>140.4423905081346</x:v>
      </x:c>
      <x:c r="C31" s="52" t="n">
        <x:f>((Forecast!B63/(1+$A31)^0.4+Forecast!C63/(1+$A31)^1.4+Forecast!D63/(1+$A31)^2.4+Forecast!E63/(1+$A31)^3.4+Forecast!F63/(1+$A31)^4.4+Forecast!G63/(1+$A31)^5.4+Forecast!H63/(1+$A31)^6.4+Forecast!I63/(1+$A31)^7.4+Forecast!J63/(1+$A31)^8.4+Forecast!K63/(1+$A31)^9.4)+(Forecast!K63*(1+C$27)/($A31-C$27))/(1+$A31)^9.4+CapitalStructure!$B$11)*1000/CapitalStructure!$B$13</x:f>
        <x:v>143.99567028932884</x:v>
      </x:c>
      <x:c r="D31" s="52" t="n">
        <x:f>((Forecast!B63/(1+$A31)^0.4+Forecast!C63/(1+$A31)^1.4+Forecast!D63/(1+$A31)^2.4+Forecast!E63/(1+$A31)^3.4+Forecast!F63/(1+$A31)^4.4+Forecast!G63/(1+$A31)^5.4+Forecast!H63/(1+$A31)^6.4+Forecast!I63/(1+$A31)^7.4+Forecast!J63/(1+$A31)^8.4+Forecast!K63/(1+$A31)^9.4)+(Forecast!K63*(1+D$27)/($A31-D$27))/(1+$A31)^9.4+CapitalStructure!$B$11)*1000/CapitalStructure!$B$13</x:f>
        <x:v>147.90427804864242</x:v>
      </x:c>
      <x:c r="E31" s="52" t="n">
        <x:f>((Forecast!B63/(1+$A31)^0.4+Forecast!C63/(1+$A31)^1.4+Forecast!D63/(1+$A31)^2.4+Forecast!E63/(1+$A31)^3.4+Forecast!F63/(1+$A31)^4.4+Forecast!G63/(1+$A31)^5.4+Forecast!H63/(1+$A31)^6.4+Forecast!I63/(1+$A31)^7.4+Forecast!J63/(1+$A31)^8.4+Forecast!K63/(1+$A31)^9.4)+(Forecast!K63*(1+E$27)/($A31-E$27))/(1+$A31)^9.4+CapitalStructure!$B$11)*1000/CapitalStructure!$B$13</x:f>
        <x:v>152.2243182036733</x:v>
      </x:c>
      <x:c r="F31" s="52" t="n">
        <x:f>((Forecast!B63/(1+$A31)^0.4+Forecast!C63/(1+$A31)^1.4+Forecast!D63/(1+$A31)^2.4+Forecast!E63/(1+$A31)^3.4+Forecast!F63/(1+$A31)^4.4+Forecast!G63/(1+$A31)^5.4+Forecast!H63/(1+$A31)^6.4+Forecast!I63/(1+$A31)^7.4+Forecast!J63/(1+$A31)^8.4+Forecast!K63/(1+$A31)^9.4)+(Forecast!K63*(1+F$27)/($A31-F$27))/(1+$A31)^9.4+CapitalStructure!$B$11)*1000/CapitalStructure!$B$13</x:f>
        <x:v>157.02436282037428</x:v>
      </x:c>
    </x:row>
    <x:row r="32">
      <x:c r="A32" s="37" t="n">
        <x:v>0.13</x:v>
      </x:c>
      <x:c r="B32" s="52" t="n">
        <x:f>((Forecast!B63/(1+$A32)^0.4+Forecast!C63/(1+$A32)^1.4+Forecast!D63/(1+$A32)^2.4+Forecast!E63/(1+$A32)^3.4+Forecast!F63/(1+$A32)^4.4+Forecast!G63/(1+$A32)^5.4+Forecast!H63/(1+$A32)^6.4+Forecast!I63/(1+$A32)^7.4+Forecast!J63/(1+$A32)^8.4+Forecast!K63/(1+$A32)^9.4)+(Forecast!K63*(1+B$27)/($A32-B$27))/(1+$A32)^9.4+CapitalStructure!$B$11)*1000/CapitalStructure!$B$13</x:f>
        <x:v>133.38925057765465</x:v>
      </x:c>
      <x:c r="C32" s="52" t="n">
        <x:f>((Forecast!B63/(1+$A32)^0.4+Forecast!C63/(1+$A32)^1.4+Forecast!D63/(1+$A32)^2.4+Forecast!E63/(1+$A32)^3.4+Forecast!F63/(1+$A32)^4.4+Forecast!G63/(1+$A32)^5.4+Forecast!H63/(1+$A32)^6.4+Forecast!I63/(1+$A32)^7.4+Forecast!J63/(1+$A32)^8.4+Forecast!K63/(1+$A32)^9.4)+(Forecast!K63*(1+C$27)/($A32-C$27))/(1+$A32)^9.4+CapitalStructure!$B$11)*1000/CapitalStructure!$B$13</x:f>
        <x:v>136.51492059395122</x:v>
      </x:c>
      <x:c r="D32" s="52" t="n">
        <x:f>((Forecast!B63/(1+$A32)^0.4+Forecast!C63/(1+$A32)^1.4+Forecast!D63/(1+$A32)^2.4+Forecast!E63/(1+$A32)^3.4+Forecast!F63/(1+$A32)^4.4+Forecast!G63/(1+$A32)^5.4+Forecast!H63/(1+$A32)^6.4+Forecast!I63/(1+$A32)^7.4+Forecast!J63/(1+$A32)^8.4+Forecast!K63/(1+$A32)^9.4)+(Forecast!K63*(1+D$27)/($A32-D$27))/(1+$A32)^9.4+CapitalStructure!$B$11)*1000/CapitalStructure!$B$13</x:f>
        <x:v>139.93827346894267</x:v>
      </x:c>
      <x:c r="E32" s="52" t="n">
        <x:f>((Forecast!B63/(1+$A32)^0.4+Forecast!C63/(1+$A32)^1.4+Forecast!D63/(1+$A32)^2.4+Forecast!E63/(1+$A32)^3.4+Forecast!F63/(1+$A32)^4.4+Forecast!G63/(1+$A32)^5.4+Forecast!H63/(1+$A32)^6.4+Forecast!I63/(1+$A32)^7.4+Forecast!J63/(1+$A32)^8.4+Forecast!K63/(1+$A32)^9.4)+(Forecast!K63*(1+E$27)/($A32-E$27))/(1+$A32)^9.4+CapitalStructure!$B$11)*1000/CapitalStructure!$B$13</x:f>
        <x:v>143.7039616314333</x:v>
      </x:c>
      <x:c r="F32" s="52" t="n">
        <x:f>((Forecast!B63/(1+$A32)^0.4+Forecast!C63/(1+$A32)^1.4+Forecast!D63/(1+$A32)^2.4+Forecast!E63/(1+$A32)^3.4+Forecast!F63/(1+$A32)^4.4+Forecast!G63/(1+$A32)^5.4+Forecast!H63/(1+$A32)^6.4+Forecast!I63/(1+$A32)^7.4+Forecast!J63/(1+$A32)^8.4+Forecast!K63/(1+$A32)^9.4)+(Forecast!K63*(1+F$27)/($A32-F$27))/(1+$A32)^9.4+CapitalStructure!$B$11)*1000/CapitalStructure!$B$13</x:f>
        <x:v>147.86603802155446</x:v>
      </x:c>
    </x:row>
    <x:row r="33">
      <x:c r="A33" s="37" t="n">
        <x:v>0.14</x:v>
      </x:c>
      <x:c r="B33" s="52" t="n">
        <x:f>((Forecast!B63/(1+$A33)^0.4+Forecast!C63/(1+$A33)^1.4+Forecast!D63/(1+$A33)^2.4+Forecast!E63/(1+$A33)^3.4+Forecast!F63/(1+$A33)^4.4+Forecast!G63/(1+$A33)^5.4+Forecast!H63/(1+$A33)^6.4+Forecast!I63/(1+$A33)^7.4+Forecast!J63/(1+$A33)^8.4+Forecast!K63/(1+$A33)^9.4)+(Forecast!K63*(1+B$27)/($A33-B$27))/(1+$A33)^9.4+CapitalStructure!$B$11)*1000/CapitalStructure!$B$13</x:f>
        <x:v>121.08736587024976</x:v>
      </x:c>
      <x:c r="C33" s="52" t="n">
        <x:f>((Forecast!B63/(1+$A33)^0.4+Forecast!C63/(1+$A33)^1.4+Forecast!D63/(1+$A33)^2.4+Forecast!E63/(1+$A33)^3.4+Forecast!F63/(1+$A33)^4.4+Forecast!G63/(1+$A33)^5.4+Forecast!H63/(1+$A33)^6.4+Forecast!I63/(1+$A33)^7.4+Forecast!J63/(1+$A33)^8.4+Forecast!K63/(1+$A33)^9.4)+(Forecast!K63*(1+C$27)/($A33-C$27))/(1+$A33)^9.4+CapitalStructure!$B$11)*1000/CapitalStructure!$B$13</x:f>
        <x:v>123.53530473346875</x:v>
      </x:c>
      <x:c r="D33" s="52" t="n">
        <x:f>((Forecast!B63/(1+$A33)^0.4+Forecast!C63/(1+$A33)^1.4+Forecast!D63/(1+$A33)^2.4+Forecast!E63/(1+$A33)^3.4+Forecast!F63/(1+$A33)^4.4+Forecast!G63/(1+$A33)^5.4+Forecast!H63/(1+$A33)^6.4+Forecast!I63/(1+$A33)^7.4+Forecast!J63/(1+$A33)^8.4+Forecast!K63/(1+$A33)^9.4)+(Forecast!K63*(1+D$27)/($A33-D$27))/(1+$A33)^9.4+CapitalStructure!$B$11)*1000/CapitalStructure!$B$13</x:f>
        <x:v>126.19610784566325</x:v>
      </x:c>
      <x:c r="E33" s="52" t="n">
        <x:f>((Forecast!B63/(1+$A33)^0.4+Forecast!C63/(1+$A33)^1.4+Forecast!D63/(1+$A33)^2.4+Forecast!E63/(1+$A33)^3.4+Forecast!F63/(1+$A33)^4.4+Forecast!G63/(1+$A33)^5.4+Forecast!H63/(1+$A33)^6.4+Forecast!I63/(1+$A33)^7.4+Forecast!J63/(1+$A33)^8.4+Forecast!K63/(1+$A33)^9.4)+(Forecast!K63*(1+E$27)/($A33-E$27))/(1+$A33)^9.4+CapitalStructure!$B$11)*1000/CapitalStructure!$B$13</x:f>
        <x:v>129.0988021498755</x:v>
      </x:c>
      <x:c r="F33" s="52" t="n">
        <x:f>((Forecast!B63/(1+$A33)^0.4+Forecast!C63/(1+$A33)^1.4+Forecast!D63/(1+$A33)^2.4+Forecast!E63/(1+$A33)^3.4+Forecast!F63/(1+$A33)^4.4+Forecast!G63/(1+$A33)^5.4+Forecast!H63/(1+$A33)^6.4+Forecast!I63/(1+$A33)^7.4+Forecast!J63/(1+$A33)^8.4+Forecast!K63/(1+$A33)^9.4)+(Forecast!K63*(1+F$27)/($A33-F$27))/(1+$A33)^9.4+CapitalStructure!$B$11)*1000/CapitalStructure!$B$13</x:f>
        <x:v>132.27794353067935</x:v>
      </x:c>
    </x:row>
    <x:row r="34">
      <x:c r="A34" s="37" t="n">
        <x:v>0.15</x:v>
      </x:c>
      <x:c r="B34" s="52" t="n">
        <x:f>((Forecast!B63/(1+$A34)^0.4+Forecast!C63/(1+$A34)^1.4+Forecast!D63/(1+$A34)^2.4+Forecast!E63/(1+$A34)^3.4+Forecast!F63/(1+$A34)^4.4+Forecast!G63/(1+$A34)^5.4+Forecast!H63/(1+$A34)^6.4+Forecast!I63/(1+$A34)^7.4+Forecast!J63/(1+$A34)^8.4+Forecast!K63/(1+$A34)^9.4)+(Forecast!K63*(1+B$27)/($A34-B$27))/(1+$A34)^9.4+CapitalStructure!$B$11)*1000/CapitalStructure!$B$13</x:f>
        <x:v>110.73792661539987</x:v>
      </x:c>
      <x:c r="C34" s="52" t="n">
        <x:f>((Forecast!B63/(1+$A34)^0.4+Forecast!C63/(1+$A34)^1.4+Forecast!D63/(1+$A34)^2.4+Forecast!E63/(1+$A34)^3.4+Forecast!F63/(1+$A34)^4.4+Forecast!G63/(1+$A34)^5.4+Forecast!H63/(1+$A34)^6.4+Forecast!I63/(1+$A34)^7.4+Forecast!J63/(1+$A34)^8.4+Forecast!K63/(1+$A34)^9.4)+(Forecast!K63*(1+C$27)/($A34-C$27))/(1+$A34)^9.4+CapitalStructure!$B$11)*1000/CapitalStructure!$B$13</x:f>
        <x:v>112.68218328617749</x:v>
      </x:c>
      <x:c r="D34" s="52" t="n">
        <x:f>((Forecast!B63/(1+$A34)^0.4+Forecast!C63/(1+$A34)^1.4+Forecast!D63/(1+$A34)^2.4+Forecast!E63/(1+$A34)^3.4+Forecast!F63/(1+$A34)^4.4+Forecast!G63/(1+$A34)^5.4+Forecast!H63/(1+$A34)^6.4+Forecast!I63/(1+$A34)^7.4+Forecast!J63/(1+$A34)^8.4+Forecast!K63/(1+$A34)^9.4)+(Forecast!K63*(1+D$27)/($A34-D$27))/(1+$A34)^9.4+CapitalStructure!$B$11)*1000/CapitalStructure!$B$13</x:f>
        <x:v>114.78198049061731</x:v>
      </x:c>
      <x:c r="E34" s="52" t="n">
        <x:f>((Forecast!B63/(1+$A34)^0.4+Forecast!C63/(1+$A34)^1.4+Forecast!D63/(1+$A34)^2.4+Forecast!E63/(1+$A34)^3.4+Forecast!F63/(1+$A34)^4.4+Forecast!G63/(1+$A34)^5.4+Forecast!H63/(1+$A34)^6.4+Forecast!I63/(1+$A34)^7.4+Forecast!J63/(1+$A34)^8.4+Forecast!K63/(1+$A34)^9.4)+(Forecast!K63*(1+E$27)/($A34-E$27))/(1+$A34)^9.4+CapitalStructure!$B$11)*1000/CapitalStructure!$B$13</x:f>
        <x:v>117.05676079542714</x:v>
      </x:c>
      <x:c r="F34" s="52" t="n">
        <x:f>((Forecast!B63/(1+$A34)^0.4+Forecast!C63/(1+$A34)^1.4+Forecast!D63/(1+$A34)^2.4+Forecast!E63/(1+$A34)^3.4+Forecast!F63/(1+$A34)^4.4+Forecast!G63/(1+$A34)^5.4+Forecast!H63/(1+$A34)^6.4+Forecast!I63/(1+$A34)^7.4+Forecast!J63/(1+$A34)^8.4+Forecast!K63/(1+$A34)^9.4)+(Forecast!K63*(1+F$27)/($A34-F$27))/(1+$A34)^9.4+CapitalStructure!$B$11)*1000/CapitalStructure!$B$13</x:f>
        <x:v>119.52934808326388</x:v>
      </x:c>
    </x:row>
  </x:sheetData>
  <x:mergeCells>
    <x:mergeCell ref="A1:H1"/>
    <x:mergeCell ref="A2:H2"/>
    <x:mergeCell ref="A4:H4"/>
    <x:mergeCell ref="A15:H15"/>
    <x:mergeCell ref="A26:H26"/>
  </x:mergeCells>
  <x:conditionalFormatting sqref="B6:G12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B17:G23">
    <x:cfRule type="colorScale" priority="2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B28:F34">
    <x:cfRule type="colorScale" priority="3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66" hidden="0" customWidth="1"/>
    <x:col min="4" max="4" width="15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8" customHeight="1">
      <x:c r="A1" s="4" t="str">
        <x:v>SE — Full Valuation Dashboard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8" customHeight="1">
      <x:c r="A2" s="10" t="str">
        <x:v>Model date: 7 Aug 2026. Latest reported quarter: Q1 2026. Q2 earnings are due 11 Aug 2026, so this model should be refreshed immediately after the release.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</x:row>
    <x:row r="4">
      <x:c r="A4" s="113" t="str">
        <x:v>Base intrinsic value</x:v>
      </x:c>
      <x:c r="B4" s="113"/>
      <x:c r="C4" s="113"/>
      <x:c r="E4" s="113" t="str">
        <x:v>Bear value</x:v>
      </x:c>
      <x:c r="F4" s="113"/>
      <x:c r="G4" s="113"/>
      <x:c r="I4" s="113" t="str">
        <x:v>Bull value</x:v>
      </x:c>
      <x:c r="J4" s="113"/>
      <x:c r="K4" s="113"/>
    </x:row>
    <x:row r="5">
      <x:c r="A5" s="154" t="n">
        <x:f>Valuation!C8</x:f>
        <x:v>132.11639930229313</x:v>
      </x:c>
      <x:c r="B5" s="130"/>
      <x:c r="C5" s="131"/>
      <x:c r="E5" s="154" t="n">
        <x:f>Valuation!B8</x:f>
        <x:v>67.56472575179264</x:v>
      </x:c>
      <x:c r="F5" s="130"/>
      <x:c r="G5" s="131"/>
      <x:c r="I5" s="154" t="n">
        <x:f>Valuation!D8</x:f>
        <x:v>279.91499446333194</x:v>
      </x:c>
      <x:c r="J5" s="130"/>
      <x:c r="K5" s="131"/>
    </x:row>
    <x:row r="6">
      <x:c r="A6" s="132"/>
      <x:c r="B6" s="133"/>
      <x:c r="C6" s="134"/>
      <x:c r="E6" s="132"/>
      <x:c r="F6" s="133"/>
      <x:c r="G6" s="134"/>
      <x:c r="I6" s="132"/>
      <x:c r="J6" s="133"/>
      <x:c r="K6" s="134"/>
    </x:row>
    <x:row r="8">
      <x:c r="A8" s="113" t="str">
        <x:v>Current price</x:v>
      </x:c>
      <x:c r="B8" s="113"/>
      <x:c r="C8" s="113"/>
      <x:c r="E8" s="113" t="str">
        <x:v>Base upside</x:v>
      </x:c>
      <x:c r="F8" s="113"/>
      <x:c r="G8" s="113"/>
      <x:c r="I8" s="113" t="str">
        <x:v>2026 Shopee GMV guide</x:v>
      </x:c>
      <x:c r="J8" s="113"/>
      <x:c r="K8" s="113"/>
    </x:row>
    <x:row r="9">
      <x:c r="A9" s="154" t="n">
        <x:f>Historical!E30</x:f>
        <x:v>113.91</x:v>
      </x:c>
      <x:c r="B9" s="130"/>
      <x:c r="C9" s="131"/>
      <x:c r="E9" s="156" t="n">
        <x:f>Valuation!C20</x:f>
        <x:v>0.15983143975325387</x:v>
      </x:c>
      <x:c r="F9" s="130"/>
      <x:c r="G9" s="131"/>
      <x:c r="I9" s="170" t="str">
        <x:v>~+25%</x:v>
      </x:c>
      <x:c r="J9" s="171"/>
      <x:c r="K9" s="172"/>
    </x:row>
    <x:row r="10">
      <x:c r="A10" s="132"/>
      <x:c r="B10" s="133"/>
      <x:c r="C10" s="134"/>
      <x:c r="E10" s="132"/>
      <x:c r="F10" s="133"/>
      <x:c r="G10" s="134"/>
      <x:c r="I10" s="173"/>
      <x:c r="J10" s="174"/>
      <x:c r="K10" s="175"/>
    </x:row>
    <x:row r="12">
      <x:c r="A12" s="113" t="str">
        <x:v>Q1 Monee NPL</x:v>
      </x:c>
      <x:c r="B12" s="113"/>
      <x:c r="C12" s="113"/>
      <x:c r="E12" s="113" t="str">
        <x:v>Q1 Garena bookings</x:v>
      </x:c>
      <x:c r="F12" s="113"/>
      <x:c r="G12" s="113"/>
      <x:c r="I12" s="113" t="str">
        <x:v>Net liquid assets</x:v>
      </x:c>
      <x:c r="J12" s="113"/>
      <x:c r="K12" s="113"/>
    </x:row>
    <x:row r="13">
      <x:c r="A13" s="156" t="n">
        <x:f>Historical!E18</x:f>
        <x:v>0.011</x:v>
      </x:c>
      <x:c r="B13" s="130"/>
      <x:c r="C13" s="131"/>
      <x:c r="E13" s="154" t="n">
        <x:f>Historical!E19</x:f>
        <x:v>0.931</x:v>
      </x:c>
      <x:c r="F13" s="130"/>
      <x:c r="G13" s="131"/>
      <x:c r="I13" s="154" t="n">
        <x:f>CapitalStructure!B11</x:f>
        <x:v>6.686999999999999</x:v>
      </x:c>
      <x:c r="J13" s="130"/>
      <x:c r="K13" s="131"/>
    </x:row>
    <x:row r="14">
      <x:c r="A14" s="132"/>
      <x:c r="B14" s="133"/>
      <x:c r="C14" s="134"/>
      <x:c r="E14" s="132"/>
      <x:c r="F14" s="133"/>
      <x:c r="G14" s="134"/>
      <x:c r="I14" s="132"/>
      <x:c r="J14" s="133"/>
      <x:c r="K14" s="134"/>
    </x:row>
    <x:row r="16">
      <x:c r="A16" s="63" t="str">
        <x:v>Valuation Methods</x:v>
      </x:c>
      <x:c r="B16" s="63" t="str">
        <x:v>Valuation Methods</x:v>
      </x:c>
      <x:c r="C16" s="63" t="str">
        <x:v>Valuation Methods</x:v>
      </x:c>
      <x:c r="D16" s="63" t="str">
        <x:v>Valuation Methods</x:v>
      </x:c>
      <x:c r="E16" s="63" t="str">
        <x:v>Valuation Methods</x:v>
      </x:c>
      <x:c r="F16" s="63" t="str">
        <x:v>Valuation Methods</x:v>
      </x:c>
      <x:c r="G16" s="63" t="str">
        <x:v>Valuation Methods</x:v>
      </x:c>
      <x:c r="H16" s="63" t="str">
        <x:v>Valuation Methods</x:v>
      </x:c>
      <x:c r="I16" s="63" t="str">
        <x:v>Valuation Methods</x:v>
      </x:c>
      <x:c r="J16" s="63" t="str">
        <x:v>Valuation Methods</x:v>
      </x:c>
      <x:c r="K16" s="63" t="str">
        <x:v>Valuation Methods</x:v>
      </x:c>
      <x:c r="L16" s="63" t="str">
        <x:v>Valuation Methods</x:v>
      </x:c>
      <x:c r="M16" s="63" t="str">
        <x:v>Valuation Methods</x:v>
      </x:c>
      <x:c r="N16" s="63" t="str">
        <x:v>Valuation Methods</x:v>
      </x:c>
    </x:row>
    <x:row r="17">
      <x:c r="A17" s="19" t="str">
        <x:v>Method</x:v>
      </x:c>
      <x:c r="B17" s="19" t="str">
        <x:v>Bear</x:v>
      </x:c>
      <x:c r="C17" s="19" t="str">
        <x:v>Base</x:v>
      </x:c>
      <x:c r="D17" s="19" t="str">
        <x:v>Bull</x:v>
      </x:c>
      <x:c r="F17"/>
      <x:c r="G17"/>
      <x:c r="H17"/>
      <x:c r="I17"/>
      <x:c r="J17"/>
      <x:c r="K17"/>
      <x:c r="L17"/>
      <x:c r="M17"/>
      <x:c r="N17"/>
      <x:c r="O17"/>
      <x:c r="P17" t="str">
        <x:v>2026E</x:v>
      </x:c>
      <x:c r="Q17" t="str">
        <x:v>2027E</x:v>
      </x:c>
      <x:c r="R17" t="str">
        <x:v>2028E</x:v>
      </x:c>
      <x:c r="S17" t="str">
        <x:v>2029E</x:v>
      </x:c>
      <x:c r="T17" t="str">
        <x:v>2030E</x:v>
      </x:c>
      <x:c r="U17" t="str">
        <x:v>2031E</x:v>
      </x:c>
      <x:c r="V17" t="str">
        <x:v>2032E</x:v>
      </x:c>
      <x:c r="W17" t="str">
        <x:v>2033E</x:v>
      </x:c>
      <x:c r="X17" t="str">
        <x:v>2034E</x:v>
      </x:c>
      <x:c r="Y17" t="str">
        <x:v>2035E</x:v>
      </x:c>
    </x:row>
    <x:row r="18">
      <x:c r="A18" t="str">
        <x:v>2028 SOTP</x:v>
      </x:c>
      <x:c r="B18" s="52" t="n">
        <x:f>Valuation!B5</x:f>
        <x:v>66.3699805976392</x:v>
      </x:c>
      <x:c r="C18" s="52" t="n">
        <x:f>Valuation!C5</x:f>
        <x:v>129.93531210718095</x:v>
      </x:c>
      <x:c r="D18" s="52" t="n">
        <x:f>Valuation!D5</x:f>
        <x:v>242.1011465624401</x:v>
      </x:c>
      <x:c r="F18" s="52"/>
      <x:c r="G18" s="52"/>
      <x:c r="H18" s="52"/>
      <x:c r="I18" s="52"/>
      <x:c r="J18" s="52"/>
      <x:c r="K18" s="52"/>
      <x:c r="L18" s="52"/>
      <x:c r="M18" s="52"/>
      <x:c r="N18" s="52"/>
      <x:c r="O18" s="52"/>
      <x:c r="P18" s="52" t="n">
        <x:f>Forecast!B50</x:f>
        <x:v>29.95</x:v>
      </x:c>
      <x:c r="Q18" s="52" t="n">
        <x:f>Forecast!C50</x:f>
        <x:v>36.709</x:v>
      </x:c>
      <x:c r="R18" s="52" t="n">
        <x:f>Forecast!D50</x:f>
        <x:v>43.62304</x:v>
      </x:c>
      <x:c r="S18" s="52" t="n">
        <x:f>Forecast!E50</x:f>
        <x:v>50.60350719999999</x:v>
      </x:c>
      <x:c r="T18" s="52" t="n">
        <x:f>Forecast!F50</x:f>
        <x:v>57.58384852399999</x:v>
      </x:c>
      <x:c r="U18" s="52" t="n">
        <x:f>Forecast!G50</x:f>
        <x:v>64.34201006988</x:v>
      </x:c>
      <x:c r="V18" s="52" t="n">
        <x:f>Forecast!H50</x:f>
        <x:v>71.1835353788016</x:v>
      </x:c>
      <x:c r="W18" s="52" t="n">
        <x:f>Forecast!I50</x:f>
        <x:v>77.90085340941324</x:v>
      </x:c>
      <x:c r="X18" s="52" t="n">
        <x:f>Forecast!J50</x:f>
        <x:v>84.34929111970035</x:v>
      </x:c>
      <x:c r="Y18" s="52" t="n">
        <x:f>Forecast!K50</x:f>
        <x:v>90.50601728519821</x:v>
      </x:c>
    </x:row>
    <x:row r="19">
      <x:c r="A19" t="str">
        <x:v>DCF</x:v>
      </x:c>
      <x:c r="B19" s="52" t="n">
        <x:f>Valuation!B6</x:f>
        <x:v>80.88396996197795</x:v>
      </x:c>
      <x:c r="C19" s="52" t="n">
        <x:f>Valuation!C6</x:f>
        <x:v>147.90427804864242</x:v>
      </x:c>
      <x:c r="D19" s="52" t="n">
        <x:f>Valuation!D6</x:f>
        <x:v>374.3549776660811</x:v>
      </x:c>
      <x:c r="F19" s="52"/>
      <x:c r="G19" s="52"/>
      <x:c r="H19" s="52"/>
      <x:c r="I19" s="52"/>
      <x:c r="J19" s="52"/>
      <x:c r="K19" s="52"/>
      <x:c r="L19" s="52"/>
      <x:c r="M19" s="52"/>
      <x:c r="N19" s="52"/>
      <x:c r="O19" s="52"/>
      <x:c r="P19" s="52" t="n">
        <x:f>Forecast!B51</x:f>
        <x:v>3.8404</x:v>
      </x:c>
      <x:c r="Q19" s="52" t="n">
        <x:f>Forecast!C51</x:f>
        <x:v>5.1378</x:v>
      </x:c>
      <x:c r="R19" s="52" t="n">
        <x:f>Forecast!D51</x:f>
        <x:v>6.771374800000001</x:v>
      </x:c>
      <x:c r="S19" s="52" t="n">
        <x:f>Forecast!E51</x:f>
        <x:v>8.55185819</x:v>
      </x:c>
      <x:c r="T19" s="52" t="n">
        <x:f>Forecast!F51</x:f>
        <x:v>10.51192900144</x:v>
      </x:c>
      <x:c r="U19" s="52" t="n">
        <x:f>Forecast!G51</x:f>
        <x:v>12.428802161266802</x:v>
      </x:c>
      <x:c r="V19" s="52" t="n">
        <x:f>Forecast!H51</x:f>
        <x:v>14.36260957441348</x:v>
      </x:c>
      <x:c r="W19" s="52" t="n">
        <x:f>Forecast!I51</x:f>
        <x:v>16.1122616012641</x:v>
      </x:c>
      <x:c r="X19" s="52" t="n">
        <x:f>Forecast!J51</x:f>
        <x:v>17.879440458496042</x:v>
      </x:c>
      <x:c r="Y19" s="52" t="n">
        <x:f>Forecast!K51</x:f>
        <x:v>19.70828410054807</x:v>
      </x:c>
    </x:row>
    <x:row r="20">
      <x:c r="A20" t="str">
        <x:v>2030 P/E</x:v>
      </x:c>
      <x:c r="B20" s="52" t="n">
        <x:f>Valuation!B7</x:f>
        <x:v>56.634971849914216</x:v>
      </x:c>
      <x:c r="C20" s="52" t="n">
        <x:f>Valuation!C7</x:f>
        <x:v>120.6906949461682</x:v>
      </x:c>
      <x:c r="D20" s="52" t="n">
        <x:f>Valuation!D7</x:f>
        <x:v>261.10270706236633</x:v>
      </x:c>
    </x:row>
    <x:row r="21">
      <x:c r="A21" s="96" t="str">
        <x:v>Blended</x:v>
      </x:c>
      <x:c r="B21" s="97" t="n">
        <x:f>Valuation!B8</x:f>
        <x:v>67.56472575179264</x:v>
      </x:c>
      <x:c r="C21" s="97" t="n">
        <x:f>Valuation!C8</x:f>
        <x:v>132.11639930229313</x:v>
      </x:c>
      <x:c r="D21" s="97" t="n">
        <x:f>Valuation!D8</x:f>
        <x:v>279.91499446333194</x:v>
      </x:c>
    </x:row>
    <x:row r="22">
      <x:c r="F22"/>
      <x:c r="G22"/>
      <x:c r="H22"/>
      <x:c r="I22"/>
      <x:c r="J22"/>
      <x:c r="K22"/>
      <x:c r="L22"/>
      <x:c r="M22"/>
      <x:c r="N22"/>
      <x:c r="O22"/>
      <x:c r="P22" t="str">
        <x:v>2026E</x:v>
      </x:c>
      <x:c r="Q22" t="str">
        <x:v>2027E</x:v>
      </x:c>
      <x:c r="R22" t="str">
        <x:v>2028E</x:v>
      </x:c>
      <x:c r="S22" t="str">
        <x:v>2029E</x:v>
      </x:c>
      <x:c r="T22" t="str">
        <x:v>2030E</x:v>
      </x:c>
      <x:c r="U22" t="str">
        <x:v>2031E</x:v>
      </x:c>
      <x:c r="V22" t="str">
        <x:v>2032E</x:v>
      </x:c>
      <x:c r="W22" t="str">
        <x:v>2033E</x:v>
      </x:c>
      <x:c r="X22" t="str">
        <x:v>2034E</x:v>
      </x:c>
      <x:c r="Y22" t="str">
        <x:v>2035E</x:v>
      </x:c>
    </x:row>
    <x:row r="23">
      <x:c r="F23" s="52"/>
      <x:c r="G23" s="52"/>
      <x:c r="H23" s="52"/>
      <x:c r="I23" s="52"/>
      <x:c r="J23" s="52"/>
      <x:c r="K23" s="52"/>
      <x:c r="L23" s="52"/>
      <x:c r="M23" s="52"/>
      <x:c r="N23" s="52"/>
      <x:c r="O23" s="52"/>
      <x:c r="P23" s="52" t="n">
        <x:f>Forecast!B36</x:f>
        <x:v>21.5</x:v>
      </x:c>
      <x:c r="Q23" s="52" t="n">
        <x:f>Forecast!C36</x:f>
        <x:v>26.23</x:v>
      </x:c>
      <x:c r="R23" s="52" t="n">
        <x:f>Forecast!D36</x:f>
        <x:v>30.9514</x:v>
      </x:c>
      <x:c r="S23" s="52" t="n">
        <x:f>Forecast!E36</x:f>
        <x:v>35.59410999999999</x:v>
      </x:c>
      <x:c r="T23" s="52" t="n">
        <x:f>Forecast!F36</x:f>
        <x:v>40.22134429999999</x:v>
      </x:c>
      <x:c r="U23" s="52" t="n">
        <x:f>Forecast!G36</x:f>
        <x:v>44.64569217299999</x:v>
      </x:c>
      <x:c r="V23" s="52" t="n">
        <x:f>Forecast!H36</x:f>
        <x:v>49.110261390299996</x:v>
      </x:c>
      <x:c r="W23" s="52" t="n">
        <x:f>Forecast!I36</x:f>
        <x:v>53.530184915427</x:v>
      </x:c>
      <x:c r="X23" s="52" t="n">
        <x:f>Forecast!J36</x:f>
        <x:v>57.81259970866116</x:v>
      </x:c>
      <x:c r="Y23" s="52" t="n">
        <x:f>Forecast!K36</x:f>
        <x:v>61.859481688267444</x:v>
      </x:c>
    </x:row>
    <x:row r="24">
      <x:c r="A24" s="63" t="str">
        <x:v>Investment Thesis / Risk Monitor</x:v>
      </x:c>
      <x:c r="B24" s="63" t="str">
        <x:v>Investment Thesis / Risk Monitor</x:v>
      </x:c>
      <x:c r="C24" s="63" t="str">
        <x:v>Investment Thesis / Risk Monitor</x:v>
      </x:c>
      <x:c r="D24" s="63" t="str">
        <x:v>Investment Thesis / Risk Monitor</x:v>
      </x:c>
      <x:c r="E24" s="63" t="str">
        <x:v>Investment Thesis / Risk Monitor</x:v>
      </x:c>
      <x:c r="F24" s="200"/>
      <x:c r="G24" s="200"/>
      <x:c r="H24" s="200"/>
      <x:c r="I24" s="200"/>
      <x:c r="J24" s="200"/>
      <x:c r="K24" s="200"/>
      <x:c r="L24" s="200"/>
      <x:c r="M24" s="200"/>
      <x:c r="N24" s="200"/>
      <x:c r="O24" s="52"/>
      <x:c r="P24" s="52" t="n">
        <x:f>Forecast!B40</x:f>
        <x:v>5.4</x:v>
      </x:c>
      <x:c r="Q24" s="52" t="n">
        <x:f>Forecast!C40</x:f>
        <x:v>7.128000000000001</x:v>
      </x:c>
      <x:c r="R24" s="52" t="n">
        <x:f>Forecast!D40</x:f>
        <x:v>9.052560000000001</x:v>
      </x:c>
      <x:c r="S24" s="52" t="n">
        <x:f>Forecast!E40</x:f>
        <x:v>11.1346488</x:v>
      </x:c>
      <x:c r="T24" s="52" t="n">
        <x:f>Forecast!F40</x:f>
        <x:v>13.250232072000001</x:v>
      </x:c>
      <x:c r="U24" s="52" t="n">
        <x:f>Forecast!G40</x:f>
        <x:v>15.37026920352</x:v>
      </x:c>
      <x:c r="V24" s="52" t="n">
        <x:f>Forecast!H40</x:f>
        <x:v>17.5221068920128</x:v>
      </x:c>
      <x:c r="W24" s="52" t="n">
        <x:f>Forecast!I40</x:f>
        <x:v>19.62475971905434</x:v>
      </x:c>
      <x:c r="X24" s="52" t="n">
        <x:f>Forecast!J40</x:f>
        <x:v>21.587235690959773</x:v>
      </x:c>
      <x:c r="Y24" s="52" t="n">
        <x:f>Forecast!K40</x:f>
        <x:v>23.530086903146152</x:v>
      </x:c>
    </x:row>
    <x:row r="25">
      <x:c r="A25" s="19" t="str">
        <x:v>Driver</x:v>
      </x:c>
      <x:c r="B25" s="19" t="str">
        <x:v>Current signal</x:v>
      </x:c>
      <x:c r="C25" s="19" t="str">
        <x:v>Model implication</x:v>
      </x:c>
      <x:c r="D25" s="19" t="str">
        <x:v>Evidence</x:v>
      </x:c>
      <x:c r="F25" s="52"/>
      <x:c r="G25" s="52"/>
      <x:c r="H25" s="52"/>
      <x:c r="I25" s="52"/>
      <x:c r="J25" s="52"/>
      <x:c r="K25" s="52"/>
      <x:c r="L25" s="52"/>
      <x:c r="M25" s="52"/>
      <x:c r="N25" s="52"/>
      <x:c r="O25" s="52"/>
      <x:c r="P25" s="52" t="n">
        <x:f>Forecast!B44</x:f>
        <x:v>2.85</x:v>
      </x:c>
      <x:c r="Q25" s="52" t="n">
        <x:f>Forecast!C44</x:f>
        <x:v>3.1350000000000002</x:v>
      </x:c>
      <x:c r="R25" s="52" t="n">
        <x:f>Forecast!D44</x:f>
        <x:v>3.3858000000000006</x:v>
      </x:c>
      <x:c r="S25" s="52" t="n">
        <x:f>Forecast!E44</x:f>
        <x:v>3.6228060000000006</x:v>
      </x:c>
      <x:c r="T25" s="52" t="n">
        <x:f>Forecast!F44</x:f>
        <x:v>3.8401743600000007</x:v>
      </x:c>
      <x:c r="U25" s="52" t="n">
        <x:f>Forecast!G44</x:f>
        <x:v>4.032183078000001</x:v>
      </x:c>
      <x:c r="V25" s="52" t="n">
        <x:f>Forecast!H44</x:f>
        <x:v>4.233792231900002</x:v>
      </x:c>
      <x:c r="W25" s="52" t="n">
        <x:f>Forecast!I44</x:f>
        <x:v>4.403143921176002</x:v>
      </x:c>
      <x:c r="X25" s="52" t="n">
        <x:f>Forecast!J44</x:f>
        <x:v>4.579269678023042</x:v>
      </x:c>
      <x:c r="Y25" s="52" t="n">
        <x:f>Forecast!K44</x:f>
        <x:v>4.716647768363734</x:v>
      </x:c>
    </x:row>
    <x:row r="26">
      <x:c r="A26" s="26" t="str">
        <x:v>Shopee growth</x:v>
      </x:c>
      <x:c r="B26" s="196" t="str">
        <x:v>Strong</x:v>
      </x:c>
      <x:c r="C26" s="26" t="str">
        <x:v>2026 annual GMV guidance ~+25%; Base assumes revenue growth but restrained EBITDA to honor investment year.</x:v>
      </x:c>
      <x:c r="D26" s="26" t="str">
        <x:v>S1/S2</x:v>
      </x:c>
    </x:row>
    <x:row r="27">
      <x:c r="A27" s="26" t="str">
        <x:v>Shopee profitability</x:v>
      </x:c>
      <x:c r="B27" s="196" t="str">
        <x:v>Watch</x:v>
      </x:c>
      <x:c r="C27" s="26" t="str">
        <x:v>Q1 EBITDA $223M fell YoY; company still guides FY2026 EBITDA no lower than 2025 absolute dollars.</x:v>
      </x:c>
      <x:c r="D27" s="26" t="str">
        <x:v>S1/S2</x:v>
      </x:c>
    </x:row>
    <x:row r="28">
      <x:c r="A28" s="26" t="str">
        <x:v>Monee growth</x:v>
      </x:c>
      <x:c r="B28" s="196" t="str">
        <x:v>Very strong</x:v>
      </x:c>
      <x:c r="C28" s="26" t="str">
        <x:v>Loans $9.9B +71% YoY, revenue +58%; major long-term value driver.</x:v>
      </x:c>
      <x:c r="D28" s="26" t="str">
        <x:v>S1</x:v>
      </x:c>
    </x:row>
    <x:row r="29">
      <x:c r="A29" s="26" t="str">
        <x:v>Monee credit quality</x:v>
      </x:c>
      <x:c r="B29" s="196" t="str">
        <x:v>Stable</x:v>
      </x:c>
      <x:c r="C29" s="26" t="str">
        <x:v>NPL &gt;90d remained 1.1%; deterioration is the clearest Monee bear trigger.</x:v>
      </x:c>
      <x:c r="D29" s="26" t="str">
        <x:v>S1</x:v>
      </x:c>
    </x:row>
    <x:row r="30">
      <x:c r="A30" s="26" t="str">
        <x:v>Garena durability</x:v>
      </x:c>
      <x:c r="B30" s="196" t="str">
        <x:v>Positive</x:v>
      </x:c>
      <x:c r="C30" s="26" t="str">
        <x:v>Q1 bookings +20%, paying users +12%, EBITDA/bookings 61.6%; Free Fire concentration remains a risk.</x:v>
      </x:c>
      <x:c r="D30" s="26" t="str">
        <x:v>S1</x:v>
      </x:c>
    </x:row>
    <x:row r="31">
      <x:c r="A31" s="26" t="str">
        <x:v>Balance sheet</x:v>
      </x:c>
      <x:c r="B31" s="196" t="str">
        <x:v>Strong</x:v>
      </x:c>
      <x:c r="C31" s="26" t="str">
        <x:v>Large liquid investment pool and positive net liquid asset adjustment; financial-services deposits require conservative treatment.</x:v>
      </x:c>
      <x:c r="D31" s="26" t="str">
        <x:v>S1</x:v>
      </x:c>
    </x:row>
    <x:row r="32">
      <x:c r="A32" s="26" t="str">
        <x:v>Q2 earnings</x:v>
      </x:c>
      <x:c r="B32" s="196" t="str">
        <x:v>Near-term catalyst</x:v>
      </x:c>
      <x:c r="C32" s="26" t="str">
        <x:v>Results due Aug 11; model should be refreshed immediately because the current price is only a few days ahead of earnings.</x:v>
      </x:c>
      <x:c r="D32" s="26" t="str">
        <x:v>S10</x:v>
      </x:c>
    </x:row>
  </x:sheetData>
  <x:mergeCells>
    <x:mergeCell ref="A1:N1"/>
    <x:mergeCell ref="A2:N2"/>
    <x:mergeCell ref="A4:C4"/>
    <x:mergeCell ref="A5:C6"/>
    <x:mergeCell ref="E4:G4"/>
    <x:mergeCell ref="E5:G6"/>
    <x:mergeCell ref="I4:K4"/>
    <x:mergeCell ref="I5:K6"/>
    <x:mergeCell ref="A8:C8"/>
    <x:mergeCell ref="A9:C10"/>
    <x:mergeCell ref="E8:G8"/>
    <x:mergeCell ref="E9:G10"/>
    <x:mergeCell ref="I8:K8"/>
    <x:mergeCell ref="I9:K10"/>
    <x:mergeCell ref="A12:C12"/>
    <x:mergeCell ref="A13:C14"/>
    <x:mergeCell ref="E12:G12"/>
    <x:mergeCell ref="E13:G14"/>
    <x:mergeCell ref="I12:K12"/>
    <x:mergeCell ref="I13:K14"/>
    <x:mergeCell ref="A16:N16"/>
    <x:mergeCell ref="A24:N24"/>
  </x:mergeCells>
  <x:pageMargins left="0.7" right="0.7" top="0.75" bottom="0.75" header="0.3" footer="0.3"/>
  <x:drawing xmlns:r="http://schemas.openxmlformats.org/officeDocument/2006/relationships" r:id="R4431a26dde52463c"/>
</x:worksheet>
</file>