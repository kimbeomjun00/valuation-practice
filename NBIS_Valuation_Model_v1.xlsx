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2026 Revenue ($B)</t>
        </is>
      </c>
      <c r="B2" t="n">
        <v>3.2</v>
      </c>
      <c r="C2" t="inlineStr">
        <is>
          <t>Base assumption</t>
        </is>
      </c>
    </row>
    <row r="3">
      <c r="A3" t="inlineStr">
        <is>
          <t>2026 ARR ($B)</t>
        </is>
      </c>
      <c r="B3" t="n">
        <v>8</v>
      </c>
      <c r="C3" t="inlineStr">
        <is>
          <t>Company target midpoint</t>
        </is>
      </c>
    </row>
    <row r="4">
      <c r="A4" t="inlineStr">
        <is>
          <t>Connected MW</t>
        </is>
      </c>
      <c r="B4" t="n">
        <v>900</v>
      </c>
      <c r="C4" t="inlineStr">
        <is>
          <t>MW</t>
        </is>
      </c>
    </row>
    <row r="5">
      <c r="A5" t="inlineStr">
        <is>
          <t>Revenue per MW ($M)</t>
        </is>
      </c>
      <c r="B5" t="n">
        <v>8.9</v>
      </c>
      <c r="C5" t="inlineStr">
        <is>
          <t>ARR/MW</t>
        </is>
      </c>
    </row>
    <row r="6">
      <c r="A6" t="inlineStr">
        <is>
          <t>2030 Base MW</t>
        </is>
      </c>
      <c r="B6" t="n">
        <v>4200</v>
      </c>
      <c r="C6" t="inlineStr">
        <is>
          <t>MW</t>
        </is>
      </c>
    </row>
    <row r="7">
      <c r="A7" t="inlineStr">
        <is>
          <t>2030 Revenue/MW ($M)</t>
        </is>
      </c>
      <c r="B7" t="n">
        <v>7.5</v>
      </c>
      <c r="C7" t="inlineStr">
        <is>
          <t>Assumption</t>
        </is>
      </c>
    </row>
    <row r="8">
      <c r="A8" t="inlineStr">
        <is>
          <t>2030 Revenue ($B)</t>
        </is>
      </c>
      <c r="B8">
        <f>B6*B7/1000</f>
        <v/>
      </c>
      <c r="C8" t="inlineStr">
        <is>
          <t>Calculated</t>
        </is>
      </c>
    </row>
    <row r="9">
      <c r="A9" t="inlineStr">
        <is>
          <t>EBITDA Margin</t>
        </is>
      </c>
      <c r="B9" t="n">
        <v>0.4</v>
      </c>
      <c r="C9" t="inlineStr">
        <is>
          <t>Base</t>
        </is>
      </c>
    </row>
    <row r="10">
      <c r="A10" t="inlineStr">
        <is>
          <t>2030 EBITDA ($B)</t>
        </is>
      </c>
      <c r="B10">
        <f>B8*B9</f>
        <v/>
      </c>
      <c r="C10" t="inlineStr">
        <is>
          <t>Calculated</t>
        </is>
      </c>
    </row>
    <row r="11">
      <c r="A11" t="inlineStr">
        <is>
          <t>EV/EBITDA</t>
        </is>
      </c>
      <c r="B11" t="n">
        <v>14</v>
      </c>
      <c r="C11" t="inlineStr">
        <is>
          <t>Multiple</t>
        </is>
      </c>
    </row>
    <row r="12">
      <c r="A12" t="inlineStr">
        <is>
          <t>Enterprise Value ($B)</t>
        </is>
      </c>
      <c r="B12">
        <f>B10*B11</f>
        <v/>
      </c>
      <c r="C12" t="inlineStr">
        <is>
          <t>Calculated</t>
        </is>
      </c>
    </row>
    <row r="13">
      <c r="A13" t="inlineStr">
        <is>
          <t>Net Debt ($B)</t>
        </is>
      </c>
      <c r="B13" t="n">
        <v>30</v>
      </c>
      <c r="C13" t="inlineStr">
        <is>
          <t>Assumption</t>
        </is>
      </c>
    </row>
    <row r="14">
      <c r="A14" t="inlineStr">
        <is>
          <t>Equity Value ($B)</t>
        </is>
      </c>
      <c r="B14">
        <f>B12-B13</f>
        <v/>
      </c>
      <c r="C14" t="inlineStr">
        <is>
          <t>Calculated</t>
        </is>
      </c>
    </row>
    <row r="15">
      <c r="A15" t="inlineStr">
        <is>
          <t>Discounted Equity ($B)</t>
        </is>
      </c>
      <c r="B15" t="n">
        <v>95</v>
      </c>
      <c r="C15" t="inlineStr">
        <is>
          <t>Working estimate</t>
        </is>
      </c>
    </row>
    <row r="16">
      <c r="A16" t="inlineStr">
        <is>
          <t>Diluted Shares (M)</t>
        </is>
      </c>
      <c r="B16" t="n">
        <v>300</v>
      </c>
      <c r="C16" t="inlineStr">
        <is>
          <t>Assumption</t>
        </is>
      </c>
    </row>
    <row r="17">
      <c r="A17" t="inlineStr">
        <is>
          <t>Target Price ($)</t>
        </is>
      </c>
      <c r="B17">
        <f>B15*1000/B16</f>
        <v/>
      </c>
      <c r="C17" t="inlineStr">
        <is>
          <t>Calculated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Target Price ($)</t>
        </is>
      </c>
    </row>
    <row r="2">
      <c r="A2" t="inlineStr">
        <is>
          <t>Bear</t>
        </is>
      </c>
      <c r="B2" t="n">
        <v>130</v>
      </c>
    </row>
    <row r="3">
      <c r="A3" t="inlineStr">
        <is>
          <t>Base</t>
        </is>
      </c>
      <c r="B3" t="n">
        <v>315</v>
      </c>
    </row>
    <row r="4">
      <c r="A4" t="inlineStr">
        <is>
          <t>Bull</t>
        </is>
      </c>
      <c r="B4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2026-08-07T15:57:13Z</dcterms:created>
  <dcterms:modified xmlns:dcterms="http://purl.org/dc/terms/" xmlns:xsi="http://www.w3.org/2001/XMLSchema-instance" xsi:type="dcterms:W3CDTF">2026-08-07T15:57:13Z</dcterms:modified>
</cp:coreProperties>
</file>