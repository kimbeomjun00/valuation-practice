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8247299b4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d56e108008f7434a"/>
    <x:sheet xmlns:r="http://schemas.openxmlformats.org/officeDocument/2006/relationships" name="Historical" sheetId="2" r:id="R543c0fe1a93b4d7e"/>
    <x:sheet xmlns:r="http://schemas.openxmlformats.org/officeDocument/2006/relationships" name="Contracts" sheetId="3" r:id="Rec2cbcfa5c5b4c8e"/>
    <x:sheet xmlns:r="http://schemas.openxmlformats.org/officeDocument/2006/relationships" name="CapitalStructure" sheetId="4" r:id="R07964007ba5647e2"/>
    <x:sheet xmlns:r="http://schemas.openxmlformats.org/officeDocument/2006/relationships" name="Forecast" sheetId="5" r:id="R77fae8c1e5fe4a4f"/>
    <x:sheet xmlns:r="http://schemas.openxmlformats.org/officeDocument/2006/relationships" name="SOTP" sheetId="6" r:id="R843b2316ef6648a1"/>
    <x:sheet xmlns:r="http://schemas.openxmlformats.org/officeDocument/2006/relationships" name="DCF" sheetId="7" r:id="Raa25d67f73b74339"/>
    <x:sheet xmlns:r="http://schemas.openxmlformats.org/officeDocument/2006/relationships" name="Multiples" sheetId="8" r:id="Rb08fa57bbb2047fd"/>
    <x:sheet xmlns:r="http://schemas.openxmlformats.org/officeDocument/2006/relationships" name="Valuation" sheetId="9" r:id="R9ec554fb0e0d4be2"/>
    <x:sheet xmlns:r="http://schemas.openxmlformats.org/officeDocument/2006/relationships" name="Sensitivity" sheetId="10" r:id="Rd12228ed78b04249"/>
    <x:sheet xmlns:r="http://schemas.openxmlformats.org/officeDocument/2006/relationships" name="Dashboard" sheetId="11" r:id="R2db259780ef4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.0;[Red]($#,##0.0);-"/>
    <x:numFmt numFmtId="201" formatCode="0.0"/>
    <x:numFmt numFmtId="202" formatCode="#,##0"/>
    <x:numFmt numFmtId="203" formatCode="$0.00;[Red]($0.00);-"/>
    <x:numFmt numFmtId="204" formatCode="0"/>
    <x:numFmt numFmtId="205" formatCode="0.0%;[Red](0.0%);-"/>
    <x:numFmt numFmtId="206" formatCode="$0.00"/>
    <x:numFmt numFmtId="207" formatCode="0.0x"/>
    <x:numFmt numFmtId="208" formatCode="0.000x"/>
    <x:numFmt numFmtId="209" formatCode="$#,##0.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9"/>
      <x:color rgb="FF6B728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6B7280"/>
      <x:name val="Carlito"/>
    </x:font>
    <x:font>
      <x:b/>
      <x:sz val="10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9"/>
      <x:color rgb="FFFFFFFF"/>
      <x:name val="Carlito"/>
    </x:font>
    <x:font>
      <x:b/>
      <x:sz val="15"/>
      <x:color rgb="FF008000"/>
      <x:name val="Carlito"/>
    </x:font>
    <x:font>
      <x:b/>
      <x:sz val="15"/>
      <x:color rgb="FF0000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D9E2F3"/>
      </x:patternFill>
    </x:fill>
    <x:fill>
      <x:patternFill patternType="solid">
        <x:fgColor rgb="FF132A4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8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000000"/>
      </x:top>
    </x:border>
    <x:border>
      <x:top style="thin">
        <x:color rgb="FF000000"/>
      </x:top>
    </x:border>
    <x:border>
      <x:top style="medium">
        <x:color rgb="FF000000"/>
      </x:top>
    </x:border>
    <x:border>
      <x:top style="medium">
        <x:color rgb="FF00000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</x:borders>
  <x:cellStyleXfs count="1">
    <x:xf numFmtId="0" fontId="0" fillId="0" borderId="0"/>
  </x:cellStyleXfs>
  <x:cellXfs count="2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205" fontId="4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4" xfId="0" applyNumberFormat="1" applyFont="1" applyFill="1" applyBorder="1"/>
    <x:xf numFmtId="0" fontId="7" fillId="0" borderId="4" xfId="0" applyNumberFormat="1" applyFont="1" applyFill="1" applyBorder="1"/>
    <x:xf numFmtId="0" fontId="0" fillId="0" borderId="5" xfId="0" applyNumberFormat="1" applyFont="1" applyFill="1" applyBorder="1"/>
    <x:xf numFmtId="0" fontId="7" fillId="0" borderId="5" xfId="0" applyNumberFormat="1" applyFont="1" applyFill="1" applyBorder="1"/>
    <x:xf numFmtId="202" fontId="7" fillId="0" borderId="4" xfId="0" applyNumberFormat="1" applyFont="1" applyFill="1" applyBorder="1"/>
    <x:xf numFmtId="202" fontId="7" fillId="0" borderId="5" xfId="0" applyNumberFormat="1" applyFont="1" applyFill="1" applyBorder="1"/>
    <x:xf numFmtId="203" fontId="7" fillId="0" borderId="4" xfId="0" applyNumberFormat="1" applyFont="1" applyFill="1" applyBorder="1"/>
    <x:xf numFmtId="203" fontId="7" fillId="0" borderId="5" xfId="0" applyNumberFormat="1" applyFont="1" applyFill="1" applyBorder="1"/>
    <x:xf numFmtId="200" fontId="7" fillId="0" borderId="4" xfId="0" applyNumberFormat="1" applyFont="1" applyFill="1" applyBorder="1"/>
    <x:xf numFmtId="200" fontId="7" fillId="0" borderId="5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6" fontId="4" fillId="0" borderId="1" xfId="0" applyNumberFormat="1" applyFont="1" applyFill="1" applyBorder="1"/>
    <x:xf numFmtId="207" fontId="4" fillId="0" borderId="1" xfId="0" applyNumberFormat="1" applyFont="1" applyFill="1" applyBorder="1"/>
    <x:xf numFmtId="202" fontId="4" fillId="6" borderId="0" xfId="0" applyNumberFormat="1" applyFont="1" applyFill="1" applyBorder="1"/>
    <x:xf numFmtId="206" fontId="4" fillId="6" borderId="0" xfId="0" applyNumberFormat="1" applyFont="1" applyFill="1" applyBorder="1"/>
    <x:xf numFmtId="207" fontId="4" fillId="6" borderId="0" xfId="0" applyNumberFormat="1" applyFont="1" applyFill="1" applyBorder="1"/>
    <x:xf numFmtId="205" fontId="4" fillId="6" borderId="0" xfId="0" applyNumberFormat="1" applyFont="1" applyFill="1" applyBorder="1"/>
    <x:xf numFmtId="201" fontId="4" fillId="6" borderId="0" xfId="0" applyNumberFormat="1" applyFont="1" applyFill="1" applyBorder="1"/>
    <x:xf numFmtId="202" fontId="4" fillId="6" borderId="1" xfId="0" applyNumberFormat="1" applyFont="1" applyFill="1" applyBorder="1"/>
    <x:xf numFmtId="206" fontId="4" fillId="6" borderId="1" xfId="0" applyNumberFormat="1" applyFont="1" applyFill="1" applyBorder="1"/>
    <x:xf numFmtId="207" fontId="4" fillId="6" borderId="1" xfId="0" applyNumberFormat="1" applyFont="1" applyFill="1" applyBorder="1"/>
    <x:xf numFmtId="205" fontId="4" fillId="6" borderId="1" xfId="0" applyNumberFormat="1" applyFont="1" applyFill="1" applyBorder="1"/>
    <x:xf numFmtId="201" fontId="4" fillId="6" borderId="1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0" fontId="0" fillId="7" borderId="0" xfId="0" applyNumberFormat="1" applyFont="1" applyFill="1" applyBorder="1"/>
    <x:xf numFmtId="203" fontId="7" fillId="7" borderId="0" xfId="0" applyNumberFormat="1" applyFont="1" applyFill="1" applyBorder="1"/>
    <x:xf numFmtId="0" fontId="3" fillId="7" borderId="0" xfId="0" applyNumberFormat="1" applyFont="1" applyFill="1" applyBorder="1"/>
    <x:xf numFmtId="203" fontId="3" fillId="7" borderId="0" xfId="0" applyNumberFormat="1" applyFont="1" applyFill="1" applyBorder="1"/>
    <x:xf numFmtId="0" fontId="0" fillId="7" borderId="1" xfId="0" applyNumberFormat="1" applyFont="1" applyFill="1" applyBorder="1"/>
    <x:xf numFmtId="203" fontId="7" fillId="7" borderId="1" xfId="0" applyNumberFormat="1" applyFont="1" applyFill="1" applyBorder="1"/>
    <x:xf numFmtId="0" fontId="3" fillId="7" borderId="1" xfId="0" applyNumberFormat="1" applyFont="1" applyFill="1" applyBorder="1"/>
    <x:xf numFmtId="203" fontId="3" fillId="7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3" fontId="4" fillId="6" borderId="0" xfId="0" applyNumberFormat="1" applyFont="1" applyFill="1" applyBorder="1"/>
    <x:xf numFmtId="203" fontId="4" fillId="6" borderId="1" xfId="0" applyNumberFormat="1" applyFont="1" applyFill="1" applyBorder="1"/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05" fontId="7" fillId="6" borderId="0" xfId="0" applyNumberFormat="1" applyFont="1" applyFill="1" applyBorder="1"/>
    <x:xf numFmtId="205" fontId="7" fillId="6" borderId="1" xfId="0" applyNumberFormat="1" applyFont="1" applyFill="1" applyBorder="1"/>
    <x:xf numFmtId="203" fontId="7" fillId="6" borderId="0" xfId="0" applyNumberFormat="1" applyFont="1" applyFill="1" applyBorder="1"/>
    <x:xf numFmtId="203" fontId="7" fillId="6" borderId="1" xfId="0" applyNumberFormat="1" applyFont="1" applyFill="1" applyBorder="1"/>
    <x:xf numFmtId="207" fontId="7" fillId="6" borderId="0" xfId="0" applyNumberFormat="1" applyFont="1" applyFill="1" applyBorder="1"/>
    <x:xf numFmtId="207" fontId="7" fillId="6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0" fontId="3" fillId="7" borderId="6" xfId="0" applyNumberFormat="1" applyFont="1" applyFill="1" applyBorder="1"/>
    <x:xf numFmtId="203" fontId="3" fillId="7" borderId="6" xfId="0" applyNumberFormat="1" applyFont="1" applyFill="1" applyBorder="1"/>
    <x:xf numFmtId="0" fontId="3" fillId="7" borderId="7" xfId="0" applyNumberFormat="1" applyFont="1" applyFill="1" applyBorder="1"/>
    <x:xf numFmtId="203" fontId="3" fillId="7" borderId="7" xfId="0" applyNumberFormat="1" applyFont="1" applyFill="1" applyBorder="1"/>
    <x:xf numFmtId="208" fontId="7" fillId="0" borderId="0" xfId="0" applyNumberFormat="1" applyFont="1" applyFill="1" applyBorder="1"/>
    <x:xf numFmtId="208" fontId="7" fillId="0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201" fontId="8" fillId="6" borderId="0" xfId="0" applyNumberFormat="1" applyFont="1" applyFill="1" applyBorder="1"/>
    <x:xf numFmtId="201" fontId="8" fillId="6" borderId="1" xfId="0" applyNumberFormat="1" applyFont="1" applyFill="1" applyBorder="1"/>
    <x:xf numFmtId="205" fontId="8" fillId="0" borderId="0" xfId="0" applyNumberFormat="1" applyFont="1" applyFill="1" applyBorder="1"/>
    <x:xf numFmtId="205" fontId="8" fillId="0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8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/>
    </x:xf>
    <x:xf numFmtId="0" fontId="10" fillId="8" borderId="10" xfId="0" applyNumberFormat="1" applyFont="1" applyFill="1" applyBorder="1" applyAlignment="1">
      <x:alignment horizontal="center"/>
    </x:xf>
    <x:xf numFmtId="0" fontId="10" fillId="8" borderId="11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3" xfId="0" applyNumberFormat="1" applyFont="1" applyFill="1" applyBorder="1"/>
    <x:xf numFmtId="0" fontId="10" fillId="8" borderId="14" xfId="0" applyNumberFormat="1" applyFont="1" applyFill="1" applyBorder="1"/>
    <x:xf numFmtId="0" fontId="10" fillId="8" borderId="15" xfId="0" applyNumberFormat="1" applyFont="1" applyFill="1" applyBorder="1"/>
    <x:xf numFmtId="0" fontId="10" fillId="8" borderId="16" xfId="0" applyNumberFormat="1" applyFont="1" applyFill="1" applyBorder="1"/>
    <x:xf numFmtId="0" fontId="10" fillId="8" borderId="17" xfId="0" applyNumberFormat="1" applyFont="1" applyFill="1" applyBorder="1"/>
    <x:xf numFmtId="0" fontId="10" fillId="8" borderId="13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0" fontId="10" fillId="8" borderId="15" xfId="0" applyNumberFormat="1" applyFont="1" applyFill="1" applyBorder="1" applyAlignment="1">
      <x:alignment horizontal="center"/>
    </x:xf>
    <x:xf numFmtId="0" fontId="10" fillId="8" borderId="16" xfId="0" applyNumberFormat="1" applyFont="1" applyFill="1" applyBorder="1" applyAlignment="1">
      <x:alignment horizontal="center"/>
    </x:xf>
    <x:xf numFmtId="0" fontId="10" fillId="8" borderId="17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8" borderId="15" xfId="0" applyNumberFormat="1" applyFont="1" applyFill="1" applyBorder="1" applyAlignment="1">
      <x:alignment horizontal="center" vertical="center"/>
    </x:xf>
    <x:xf numFmtId="0" fontId="10" fillId="8" borderId="16" xfId="0" applyNumberFormat="1" applyFont="1" applyFill="1" applyBorder="1" applyAlignment="1">
      <x:alignment horizontal="center" vertical="center"/>
    </x:xf>
    <x:xf numFmtId="0" fontId="10" fillId="8" borderId="17" xfId="0" applyNumberFormat="1" applyFont="1" applyFill="1" applyBorder="1" applyAlignment="1">
      <x:alignment horizontal="center" vertical="center"/>
    </x:xf>
    <x:xf numFmtId="203" fontId="10" fillId="8" borderId="8" xfId="0" applyNumberFormat="1" applyFont="1" applyFill="1" applyBorder="1" applyAlignment="1">
      <x:alignment horizontal="center" vertical="center"/>
    </x:xf>
    <x:xf numFmtId="203" fontId="10" fillId="8" borderId="13" xfId="0" applyNumberFormat="1" applyFont="1" applyFill="1" applyBorder="1" applyAlignment="1">
      <x:alignment horizontal="center" vertical="center"/>
    </x:xf>
    <x:xf numFmtId="205" fontId="10" fillId="8" borderId="8" xfId="0" applyNumberFormat="1" applyFont="1" applyFill="1" applyBorder="1" applyAlignment="1">
      <x:alignment horizontal="center" vertical="center"/>
    </x:xf>
    <x:xf numFmtId="205" fontId="10" fillId="8" borderId="13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8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11" fillId="8" borderId="9" xfId="0" applyNumberFormat="1" applyFont="1" applyFill="1" applyBorder="1" applyAlignment="1">
      <x:alignment horizontal="center"/>
    </x:xf>
    <x:xf numFmtId="0" fontId="11" fillId="8" borderId="10" xfId="0" applyNumberFormat="1" applyFont="1" applyFill="1" applyBorder="1" applyAlignment="1">
      <x:alignment horizontal="center"/>
    </x:xf>
    <x:xf numFmtId="0" fontId="11" fillId="8" borderId="11" xfId="0" applyNumberFormat="1" applyFont="1" applyFill="1" applyBorder="1" applyAlignment="1">
      <x:alignment horizontal="center"/>
    </x:xf>
    <x:xf numFmtId="0" fontId="11" fillId="8" borderId="12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10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8" borderId="12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16" xfId="0" applyNumberFormat="1" applyFont="1" applyFill="1" applyBorder="1"/>
    <x:xf numFmtId="0" fontId="11" fillId="8" borderId="17" xfId="0" applyNumberFormat="1" applyFont="1" applyFill="1" applyBorder="1"/>
    <x:xf numFmtId="0" fontId="11" fillId="8" borderId="13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/>
    </x:xf>
    <x:xf numFmtId="0" fontId="11" fillId="8" borderId="14" xfId="0" applyNumberFormat="1" applyFont="1" applyFill="1" applyBorder="1" applyAlignment="1">
      <x:alignment horizontal="center"/>
    </x:xf>
    <x:xf numFmtId="0" fontId="11" fillId="8" borderId="15" xfId="0" applyNumberFormat="1" applyFont="1" applyFill="1" applyBorder="1" applyAlignment="1">
      <x:alignment horizontal="center"/>
    </x:xf>
    <x:xf numFmtId="0" fontId="11" fillId="8" borderId="16" xfId="0" applyNumberFormat="1" applyFont="1" applyFill="1" applyBorder="1" applyAlignment="1">
      <x:alignment horizontal="center"/>
    </x:xf>
    <x:xf numFmtId="0" fontId="11" fillId="8" borderId="17" xfId="0" applyNumberFormat="1" applyFont="1" applyFill="1" applyBorder="1" applyAlignment="1">
      <x:alignment horizontal="center"/>
    </x:xf>
    <x:xf numFmtId="0" fontId="11" fillId="8" borderId="13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14" xfId="0" applyNumberFormat="1" applyFont="1" applyFill="1" applyBorder="1" applyAlignment="1">
      <x:alignment horizontal="center" vertical="center"/>
    </x:xf>
    <x:xf numFmtId="0" fontId="11" fillId="8" borderId="15" xfId="0" applyNumberFormat="1" applyFont="1" applyFill="1" applyBorder="1" applyAlignment="1">
      <x:alignment horizontal="center" vertical="center"/>
    </x:xf>
    <x:xf numFmtId="0" fontId="11" fillId="8" borderId="16" xfId="0" applyNumberFormat="1" applyFont="1" applyFill="1" applyBorder="1" applyAlignment="1">
      <x:alignment horizontal="center" vertical="center"/>
    </x:xf>
    <x:xf numFmtId="0" fontId="11" fillId="8" borderId="1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1" fontId="10" fillId="8" borderId="13" xfId="0" applyNumberFormat="1" applyFont="1" applyFill="1" applyBorder="1" applyAlignment="1">
      <x:alignment horizontal="center" vertical="center"/>
    </x:xf>
    <x:xf numFmtId="203" fontId="8" fillId="7" borderId="0" xfId="0" applyNumberFormat="1" applyFont="1" applyFill="1" applyBorder="1"/>
    <x:xf numFmtId="203" fontId="8" fillId="7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9" fontId="10" fillId="8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4e1d347a84797" /><Relationship Type="http://schemas.openxmlformats.org/officeDocument/2006/relationships/theme" Target="/xl/theme/theme1.xml" Id="R3078d6d9ac0c47ca" /><Relationship Type="http://schemas.openxmlformats.org/officeDocument/2006/relationships/sharedStrings" Target="/xl/sharedStrings.xml" Id="Rf9f764ffaaeb4377" /><Relationship Type="http://schemas.openxmlformats.org/officeDocument/2006/relationships/worksheet" Target="/xl/worksheets/sheet1.xml" Id="Rd56e108008f7434a" /><Relationship Type="http://schemas.openxmlformats.org/officeDocument/2006/relationships/worksheet" Target="/xl/worksheets/sheet2.xml" Id="R543c0fe1a93b4d7e" /><Relationship Type="http://schemas.openxmlformats.org/officeDocument/2006/relationships/worksheet" Target="/xl/worksheets/sheet3.xml" Id="Rec2cbcfa5c5b4c8e" /><Relationship Type="http://schemas.openxmlformats.org/officeDocument/2006/relationships/worksheet" Target="/xl/worksheets/sheet4.xml" Id="R07964007ba5647e2" /><Relationship Type="http://schemas.openxmlformats.org/officeDocument/2006/relationships/worksheet" Target="/xl/worksheets/sheet5.xml" Id="R77fae8c1e5fe4a4f" /><Relationship Type="http://schemas.openxmlformats.org/officeDocument/2006/relationships/worksheet" Target="/xl/worksheets/sheet6.xml" Id="R843b2316ef6648a1" /><Relationship Type="http://schemas.openxmlformats.org/officeDocument/2006/relationships/worksheet" Target="/xl/worksheets/sheet7.xml" Id="Raa25d67f73b74339" /><Relationship Type="http://schemas.openxmlformats.org/officeDocument/2006/relationships/worksheet" Target="/xl/worksheets/sheet8.xml" Id="Rb08fa57bbb2047fd" /><Relationship Type="http://schemas.openxmlformats.org/officeDocument/2006/relationships/worksheet" Target="/xl/worksheets/sheet9.xml" Id="R9ec554fb0e0d4be2" /><Relationship Type="http://schemas.openxmlformats.org/officeDocument/2006/relationships/worksheet" Target="/xl/worksheets/sheet10.xml" Id="Rd12228ed78b04249" /><Relationship Type="http://schemas.openxmlformats.org/officeDocument/2006/relationships/worksheet" Target="/xl/worksheets/sheet11.xml" Id="R2db259780ef44d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3a59b63a7543df" /><Relationship Type="http://schemas.openxmlformats.org/officeDocument/2006/relationships/chart" Target="/xl/drawings/charts/chart2.xml" Id="R61e9b436741744b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'Dashboard'!$F$17:$O$17</c:f>
              <c:strCache>
                <c:ptCount val="0"/>
              </c:strCache>
            </c:strRef>
          </c:cat>
          <c:val>
            <c:numRef>
              <c:f>'Dashboard'!$F$18:$O$18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Adjusted EBITDA</c:v>
          </c:tx>
          <c:cat>
            <c:strRef>
              <c:f>'Dashboard'!$F$17:$O$17</c:f>
              <c:strCache>
                <c:ptCount val="0"/>
              </c:strCache>
            </c:strRef>
          </c:cat>
          <c:val>
            <c:numRef>
              <c:f>'Dashboard'!$F$19:$O$19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MW</c:v>
          </c:tx>
          <c:cat>
            <c:strRef>
              <c:f>'Dashboard'!$F$23:$O$23</c:f>
              <c:strCache>
                <c:ptCount val="0"/>
              </c:strCache>
            </c:strRef>
          </c:cat>
          <c:val>
            <c:numRef>
              <c:f>'Dashboard'!$F$24:$O$24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a59b63a7543df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e9b436741744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c69274708040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18" hidden="0" customWidth="1"/>
    <x:col min="4" max="4" width="55" hidden="0" customWidth="1"/>
    <x:col min="5" max="5" width="67" hidden="0" customWidth="1"/>
    <x:col min="6" max="6" width="12" hidden="0" customWidth="1"/>
  </x:cols>
  <x:sheetData>
    <x:row r="1" ht="28" customHeight="1">
      <x:c r="A1" s="4" t="str">
        <x:v>WULF Full Valuation Model — Source Register</x:v>
      </x:c>
      <x:c r="B1" s="4"/>
      <x:c r="C1" s="4"/>
      <x:c r="D1" s="4"/>
      <x:c r="E1" s="4"/>
      <x:c r="F1" s="4"/>
    </x:row>
    <x:row r="2" ht="28" customHeight="1">
      <x:c r="A2" s="10" t="str">
        <x:v>Model date: 7 Aug 2026. Primary sources are TeraWulf filings/releases. Q2 2026 results released 5 Aug 2026 are incorporated.</x:v>
      </x:c>
      <x:c r="B2" s="10"/>
      <x:c r="C2" s="10"/>
      <x:c r="D2" s="10"/>
      <x:c r="E2" s="10"/>
      <x:c r="F2" s="10"/>
    </x:row>
    <x:row r="4">
      <x:c r="A4" s="19" t="str">
        <x:v>ID</x:v>
      </x:c>
      <x:c r="B4" s="19" t="str">
        <x:v>Source / date</x:v>
      </x:c>
      <x:c r="C4" s="19" t="str">
        <x:v>Type</x:v>
      </x:c>
      <x:c r="D4" s="19" t="str">
        <x:v>Key facts used</x:v>
      </x:c>
      <x:c r="E4" s="19" t="str">
        <x:v>URL</x:v>
      </x:c>
      <x:c r="F4" s="19" t="str">
        <x:v>Quality</x:v>
      </x:c>
    </x:row>
    <x:row r="5">
      <x:c r="A5" s="26" t="str">
        <x:v>S1</x:v>
      </x:c>
      <x:c r="B5" s="26" t="str">
        <x:v>TeraWulf Q2 2026 Results — Aug 5, 2026</x:v>
      </x:c>
      <x:c r="C5" s="26" t="str">
        <x:v>Company IR</x:v>
      </x:c>
      <x:c r="D5" s="26" t="str">
        <x:v>Q2 revenue/HPC mix; Lake Mariner 102MW online +336MW build; Justified Anthropic 401MW/$19B; Muskie 1GW; Abernathy $530M; balance sheet/cash flow</x:v>
      </x:c>
      <x:c r="E5" s="26" t="str">
        <x:v>https://investors.terawulf.com/news-events/press-releases/detail/144/terawulf-reports-second-quarter-2026-results</x:v>
      </x:c>
      <x:c r="F5" s="26" t="str">
        <x:v>Primary</x:v>
      </x:c>
    </x:row>
    <x:row r="6">
      <x:c r="A6" s="26" t="str">
        <x:v>S2</x:v>
      </x:c>
      <x:c r="B6" s="26" t="str">
        <x:v>TeraWulf Q3 2025 Investor Update — Nov 10, 2025</x:v>
      </x:c>
      <x:c r="C6" s="26" t="str">
        <x:v>SEC/Company presentation</x:v>
      </x:c>
      <x:c r="D6" s="26" t="str">
        <x:v>Lake Mariner Core42 60MW: ~$1.0B revenue/~$92M annual NOI; Fluidstack 366MW: ~$6.7B revenue/~$570M annual NOI; ~85% NOI margins</x:v>
      </x:c>
      <x:c r="E6" s="26" t="str">
        <x:v>https://investors.terawulf.com/sec-filings/all-sec-filings/content/0001083301-25-000096/wulfq32025investorupdate.htm</x:v>
      </x:c>
      <x:c r="F6" s="26" t="str">
        <x:v>Primary</x:v>
      </x:c>
    </x:row>
    <x:row r="7">
      <x:c r="A7" s="26" t="str">
        <x:v>S3</x:v>
      </x:c>
      <x:c r="B7" s="26" t="str">
        <x:v>Justified Anthropic lease + Abernathy sale — Jul 6, 2026</x:v>
      </x:c>
      <x:c r="C7" s="26" t="str">
        <x:v>SEC 8-K</x:v>
      </x:c>
      <x:c r="D7" s="26" t="str">
        <x:v>20-year 401MW Anthropic lease, ~$19B initial revenue; Abernathy entire 50.1% stake sold for ~$530M cash</x:v>
      </x:c>
      <x:c r="E7" s="26" t="str">
        <x:v>https://www.sec.gov/Archives/edgar/data/1083301/000110465926080583/tm2619468d1_8k.htm</x:v>
      </x:c>
      <x:c r="F7" s="26" t="str">
        <x:v>Primary</x:v>
      </x:c>
    </x:row>
    <x:row r="8">
      <x:c r="A8" s="26" t="str">
        <x:v>S4</x:v>
      </x:c>
      <x:c r="B8" s="26" t="str">
        <x:v>Google warrant disclosure — FY2025 10-K</x:v>
      </x:c>
      <x:c r="C8" s="26" t="str">
        <x:v>SEC filing</x:v>
      </x:c>
      <x:c r="D8" s="26" t="str">
        <x:v>73.58M Google warrants at $0.01 exercise; 41.01M + 32.57M tranches</x:v>
      </x:c>
      <x:c r="E8" s="26" t="str">
        <x:v>https://www.sec.gov/Archives/edgar/data/1083301/000108330126000031/wulf-20251231.htm</x:v>
      </x:c>
      <x:c r="F8" s="26" t="str">
        <x:v>Primary</x:v>
      </x:c>
    </x:row>
    <x:row r="9">
      <x:c r="A9" s="26" t="str">
        <x:v>S5</x:v>
      </x:c>
      <x:c r="B9" s="26" t="str">
        <x:v>Q1 2026 10-Q — May 8, 2026</x:v>
      </x:c>
      <x:c r="C9" s="26" t="str">
        <x:v>SEC filing</x:v>
      </x:c>
      <x:c r="D9" s="26" t="str">
        <x:v>80.879M total common warrants and 47.464M RSUs outstanding at Mar 31 2026</x:v>
      </x:c>
      <x:c r="E9" s="26" t="str">
        <x:v>https://www.sec.gov/Archives/edgar/data/1083301/000108330126000092/wulf-20260331.htm</x:v>
      </x:c>
      <x:c r="F9" s="26" t="str">
        <x:v>Primary</x:v>
      </x:c>
    </x:row>
    <x:row r="10">
      <x:c r="A10" s="26" t="str">
        <x:v>S6</x:v>
      </x:c>
      <x:c r="B10" s="26" t="str">
        <x:v>Apr 2026 equity offering prospectus</x:v>
      </x:c>
      <x:c r="C10" s="26" t="str">
        <x:v>SEC filing</x:v>
      </x:c>
      <x:c r="D10" s="26" t="str">
        <x:v>54.51M shares ultimately issued at $19; reserve shares for warrants and 2030/31/32 convertibles</x:v>
      </x:c>
      <x:c r="E10" s="26" t="str">
        <x:v>https://www.sec.gov/Archives/edgar/data/1083301/000110465926044031/tm2611661-8_424b5.htm</x:v>
      </x:c>
      <x:c r="F10" s="26" t="str">
        <x:v>Primary</x:v>
      </x:c>
    </x:row>
    <x:row r="11">
      <x:c r="A11" s="26" t="str">
        <x:v>S7</x:v>
      </x:c>
      <x:c r="B11" s="26" t="str">
        <x:v>Apr 16 equity offering close</x:v>
      </x:c>
      <x:c r="C11" s="26" t="str">
        <x:v>SEC filing</x:v>
      </x:c>
      <x:c r="D11" s="26" t="str">
        <x:v>54.51M shares at $19.00; proceeds used for Hawesville/site growth/general purposes</x:v>
      </x:c>
      <x:c r="E11" s="26" t="str">
        <x:v>https://www.sec.gov/Archives/edgar/data/1083301/000110465926044387/tm2611661d9_ex99-1.htm</x:v>
      </x:c>
      <x:c r="F11" s="26" t="str">
        <x:v>Primary</x:v>
      </x:c>
    </x:row>
    <x:row r="12">
      <x:c r="A12" s="26" t="str">
        <x:v>S8</x:v>
      </x:c>
      <x:c r="B12" s="26" t="str">
        <x:v>Q1 2026 Investor Presentation</x:v>
      </x:c>
      <x:c r="C12" s="26" t="str">
        <x:v>SEC exhibit</x:v>
      </x:c>
      <x:c r="D12" s="26" t="str">
        <x:v>60MW delivered at Mar 31; CB3 42MW, CB4 168MW, CB5 168MW; controlled pipeline reference</x:v>
      </x:c>
      <x:c r="E12" s="26" t="str">
        <x:v>https://www.sec.gov/Archives/edgar/data/1083301/000108330126000083/terawulfq12026investorpr.htm</x:v>
      </x:c>
      <x:c r="F12" s="26" t="str">
        <x:v>Primary</x:v>
      </x:c>
    </x:row>
    <x:row r="13">
      <x:c r="A13" s="26" t="str">
        <x:v>S9</x:v>
      </x:c>
      <x:c r="B13" s="26" t="str">
        <x:v>Equinix EV/EBITDA reference — Jul 28 2026</x:v>
      </x:c>
      <x:c r="C13" s="26" t="str">
        <x:v>FinanceCharts</x:v>
      </x:c>
      <x:c r="D13" s="26" t="str">
        <x:v>Current EV/EBITDA ~27.6x, used only as mature data-center valuation context</x:v>
      </x:c>
      <x:c r="E13" s="26" t="str">
        <x:v>https://www.financecharts.com/stocks/EQIX/value/ev-to-ebitda</x:v>
      </x:c>
      <x:c r="F13" s="26" t="str">
        <x:v>Secondary</x:v>
      </x:c>
    </x:row>
    <x:row r="14">
      <x:c r="A14" s="26" t="str">
        <x:v>S10</x:v>
      </x:c>
      <x:c r="B14" s="26" t="str">
        <x:v>Digital Realty ratios — Jul 2026</x:v>
      </x:c>
      <x:c r="C14" s="26" t="str">
        <x:v>StockAnalysis</x:v>
      </x:c>
      <x:c r="D14" s="26" t="str">
        <x:v>Current EV/EBITDA ~37.9x, used only as data-center valuation context</x:v>
      </x:c>
      <x:c r="E14" s="26" t="str">
        <x:v>https://stockanalysis.com/stocks/dlr/financials/ratios/</x:v>
      </x:c>
      <x:c r="F14" s="26" t="str">
        <x:v>Secondary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</x:cols>
  <x:sheetData>
    <x:row r="1" ht="28" customHeight="1">
      <x:c r="A1" s="4" t="str">
        <x:v>Historical Financials &amp; Q2 2026 Snapshot</x:v>
      </x:c>
      <x:c r="B1" s="4"/>
      <x:c r="C1" s="4"/>
      <x:c r="D1" s="4"/>
      <x:c r="E1" s="4"/>
      <x:c r="F1" s="4"/>
      <x:c r="G1" s="4"/>
    </x:row>
    <x:row r="2" ht="28" customHeight="1">
      <x:c r="A2" s="10" t="str">
        <x:v>USD $mm unless stated. Q2 2026 is the latest reported quarter. GAAP net loss is heavily affected by warrant fair-value remeasurement.</x:v>
      </x:c>
      <x:c r="B2" s="10"/>
      <x:c r="C2" s="10"/>
      <x:c r="D2" s="10"/>
      <x:c r="E2" s="10"/>
      <x:c r="F2" s="10"/>
      <x:c r="G2" s="10"/>
    </x:row>
    <x:row r="4">
      <x:c r="A4" s="19" t="str">
        <x:v>Metric</x:v>
      </x:c>
      <x:c r="B4" s="19" t="str">
        <x:v>Q2 2025A</x:v>
      </x:c>
      <x:c r="C4" s="19" t="str">
        <x:v>Q1 2026A</x:v>
      </x:c>
      <x:c r="D4" s="19" t="str">
        <x:v>Q2 2026A</x:v>
      </x:c>
      <x:c r="E4" s="19" t="str">
        <x:v>H1 2026A</x:v>
      </x:c>
      <x:c r="F4" s="19" t="str">
        <x:v>Jun-26 balance</x:v>
      </x:c>
      <x:c r="G4" s="19" t="str">
        <x:v>Source</x:v>
      </x:c>
    </x:row>
    <x:row r="5">
      <x:c r="A5" t="str">
        <x:v>Digital asset revenue</x:v>
      </x:c>
      <x:c r="B5" s="32" t="n">
        <x:v>47.636</x:v>
      </x:c>
      <x:c r="C5" s="32" t="n">
        <x:v>12.99</x:v>
      </x:c>
      <x:c r="D5" s="32" t="n">
        <x:v>12.835</x:v>
      </x:c>
      <x:c r="E5" s="32" t="n">
        <x:v>25.825</x:v>
      </x:c>
      <x:c r="F5" s="32"/>
      <x:c r="G5" s="38" t="str">
        <x:v>S1</x:v>
      </x:c>
    </x:row>
    <x:row r="6">
      <x:c r="A6" t="str">
        <x:v>HPC lease revenue</x:v>
      </x:c>
      <x:c r="B6" s="32" t="n">
        <x:v>0</x:v>
      </x:c>
      <x:c r="C6" s="32" t="n">
        <x:v>21.022</x:v>
      </x:c>
      <x:c r="D6" s="32" t="n">
        <x:v>31.932</x:v>
      </x:c>
      <x:c r="E6" s="32" t="n">
        <x:v>52.954</x:v>
      </x:c>
      <x:c r="F6" s="32"/>
      <x:c r="G6" s="38" t="str">
        <x:v>S1</x:v>
      </x:c>
    </x:row>
    <x:row r="7">
      <x:c r="A7" t="str">
        <x:v>Total revenue</x:v>
      </x:c>
      <x:c r="B7" s="32" t="n">
        <x:v>47.636</x:v>
      </x:c>
      <x:c r="C7" s="32" t="n">
        <x:v>34.012</x:v>
      </x:c>
      <x:c r="D7" s="32" t="n">
        <x:v>44.767</x:v>
      </x:c>
      <x:c r="E7" s="32" t="n">
        <x:v>78.779</x:v>
      </x:c>
      <x:c r="F7" s="32"/>
      <x:c r="G7" s="38" t="str">
        <x:v>S1</x:v>
      </x:c>
    </x:row>
    <x:row r="8">
      <x:c r="A8" t="str">
        <x:v>Cost of revenue ex-D&amp;A</x:v>
      </x:c>
      <x:c r="B8" s="32" t="n">
        <x:v>22.094</x:v>
      </x:c>
      <x:c r="C8" s="32" t="n">
        <x:v>2.361</x:v>
      </x:c>
      <x:c r="D8" s="32" t="n">
        <x:v>12.4</x:v>
      </x:c>
      <x:c r="E8" s="32" t="n">
        <x:v>14.761</x:v>
      </x:c>
      <x:c r="F8" s="32"/>
      <x:c r="G8" s="38" t="str">
        <x:v>S1</x:v>
      </x:c>
    </x:row>
    <x:row r="9">
      <x:c r="A9" t="str">
        <x:v>SG&amp;A + related party SG&amp;A</x:v>
      </x:c>
      <x:c r="B9" s="32" t="n">
        <x:v>14.288</x:v>
      </x:c>
      <x:c r="C9" s="32" t="n">
        <x:v>127.764</x:v>
      </x:c>
      <x:c r="D9" s="32" t="n">
        <x:v>126.94</x:v>
      </x:c>
      <x:c r="E9" s="32" t="n">
        <x:v>254.704</x:v>
      </x:c>
      <x:c r="F9" s="32"/>
      <x:c r="G9" s="38" t="str">
        <x:v>S1</x:v>
      </x:c>
    </x:row>
    <x:row r="10">
      <x:c r="A10" t="str">
        <x:v>Depreciation</x:v>
      </x:c>
      <x:c r="B10" s="32" t="n">
        <x:v>18.786</x:v>
      </x:c>
      <x:c r="C10" s="32" t="n">
        <x:v>28.477</x:v>
      </x:c>
      <x:c r="D10" s="32" t="n">
        <x:v>21.241</x:v>
      </x:c>
      <x:c r="E10" s="32" t="n">
        <x:v>49.718</x:v>
      </x:c>
      <x:c r="F10" s="32"/>
      <x:c r="G10" s="38" t="str">
        <x:v>S1</x:v>
      </x:c>
    </x:row>
    <x:row r="11">
      <x:c r="A11" t="str">
        <x:v>Operating loss</x:v>
      </x:c>
      <x:c r="B11" s="32" t="n">
        <x:v>-15.59</x:v>
      </x:c>
      <x:c r="C11" s="32" t="n">
        <x:v>-162.142</x:v>
      </x:c>
      <x:c r="D11" s="32" t="n">
        <x:v>-140.45</x:v>
      </x:c>
      <x:c r="E11" s="32" t="n">
        <x:v>-302.592</x:v>
      </x:c>
      <x:c r="F11" s="32"/>
      <x:c r="G11" s="38" t="str">
        <x:v>S1</x:v>
      </x:c>
    </x:row>
    <x:row r="12">
      <x:c r="A12" t="str">
        <x:v>Interest expense</x:v>
      </x:c>
      <x:c r="B12" s="32" t="n">
        <x:v>4.012</x:v>
      </x:c>
      <x:c r="C12" s="32" t="n">
        <x:v>67.071</x:v>
      </x:c>
      <x:c r="D12" s="32" t="n">
        <x:v>56.389</x:v>
      </x:c>
      <x:c r="E12" s="32" t="n">
        <x:v>123.46</x:v>
      </x:c>
      <x:c r="F12" s="32"/>
      <x:c r="G12" s="38" t="str">
        <x:v>S1</x:v>
      </x:c>
    </x:row>
    <x:row r="13">
      <x:c r="A13" t="str">
        <x:v>Warrant fair-value loss</x:v>
      </x:c>
      <x:c r="B13" s="32" t="n">
        <x:v>0</x:v>
      </x:c>
      <x:c r="C13" s="32" t="n">
        <x:v>216.325</x:v>
      </x:c>
      <x:c r="D13" s="32" t="n">
        <x:v>755.667</x:v>
      </x:c>
      <x:c r="E13" s="32" t="n">
        <x:v>971.992</x:v>
      </x:c>
      <x:c r="F13" s="32"/>
      <x:c r="G13" s="38" t="str">
        <x:v>S1</x:v>
      </x:c>
    </x:row>
    <x:row r="14">
      <x:c r="A14" t="str">
        <x:v>Net loss</x:v>
      </x:c>
      <x:c r="B14" s="32" t="n">
        <x:v>-18.37</x:v>
      </x:c>
      <x:c r="C14" s="32" t="n">
        <x:v>-427.703</x:v>
      </x:c>
      <x:c r="D14" s="32" t="n">
        <x:v>-940.827</x:v>
      </x:c>
      <x:c r="E14" s="32" t="n">
        <x:v>-1368.53</x:v>
      </x:c>
      <x:c r="F14" s="32"/>
      <x:c r="G14" s="38" t="str">
        <x:v>S1</x:v>
      </x:c>
    </x:row>
    <x:row r="15">
      <x:c r="A15" t="str">
        <x:v>Adjusted EBITDA</x:v>
      </x:c>
      <x:c r="B15" s="32" t="n">
        <x:v>14.531</x:v>
      </x:c>
      <x:c r="C15" s="32" t="n">
        <x:v>-4.073</x:v>
      </x:c>
      <x:c r="D15" s="32" t="n">
        <x:v>-18.34</x:v>
      </x:c>
      <x:c r="E15" s="32" t="n">
        <x:v>-22.413</x:v>
      </x:c>
      <x:c r="F15" s="32"/>
      <x:c r="G15" s="38" t="str">
        <x:v>S1</x:v>
      </x:c>
    </x:row>
    <x:row r="16">
      <x:c r="A16" t="str">
        <x:v>Operating cash flow</x:v>
      </x:c>
      <x:c r="B16" s="32"/>
      <x:c r="C16" s="32"/>
      <x:c r="D16" s="32"/>
      <x:c r="E16" s="32" t="n">
        <x:v>-154.3</x:v>
      </x:c>
      <x:c r="F16" s="32"/>
      <x:c r="G16" s="38" t="str">
        <x:v>S1</x:v>
      </x:c>
    </x:row>
    <x:row r="17">
      <x:c r="A17" t="str">
        <x:v>PP&amp;E purchases / deposits</x:v>
      </x:c>
      <x:c r="B17" s="32"/>
      <x:c r="C17" s="32"/>
      <x:c r="D17" s="32"/>
      <x:c r="E17" s="32" t="n">
        <x:v>-1378.514</x:v>
      </x:c>
      <x:c r="F17" s="32"/>
      <x:c r="G17" s="38" t="str">
        <x:v>S1</x:v>
      </x:c>
    </x:row>
    <x:row r="18">
      <x:c r="A18" t="str">
        <x:v>Asset acquisition cash</x:v>
      </x:c>
      <x:c r="B18" s="32"/>
      <x:c r="C18" s="32"/>
      <x:c r="D18" s="32"/>
      <x:c r="E18" s="32" t="n">
        <x:v>-231.35</x:v>
      </x:c>
      <x:c r="F18" s="32"/>
      <x:c r="G18" s="38" t="str">
        <x:v>S1</x:v>
      </x:c>
    </x:row>
    <x:row r="19">
      <x:c r="A19" t="str">
        <x:v>Cash &amp; equivalents</x:v>
      </x:c>
      <x:c r="B19" s="32"/>
      <x:c r="C19" s="32"/>
      <x:c r="D19" s="32"/>
      <x:c r="E19" s="32"/>
      <x:c r="F19" s="32" t="n">
        <x:v>2619.191</x:v>
      </x:c>
      <x:c r="G19" s="38" t="str">
        <x:v>S1</x:v>
      </x:c>
    </x:row>
    <x:row r="20">
      <x:c r="A20" t="str">
        <x:v>Restricted cash — current</x:v>
      </x:c>
      <x:c r="B20" s="32"/>
      <x:c r="C20" s="32"/>
      <x:c r="D20" s="32"/>
      <x:c r="E20" s="32"/>
      <x:c r="F20" s="32" t="n">
        <x:v>142.938</x:v>
      </x:c>
      <x:c r="G20" s="38" t="str">
        <x:v>S1</x:v>
      </x:c>
    </x:row>
    <x:row r="21">
      <x:c r="A21" t="str">
        <x:v>Restricted cash — non-current</x:v>
      </x:c>
      <x:c r="B21" s="32"/>
      <x:c r="C21" s="32"/>
      <x:c r="D21" s="32"/>
      <x:c r="E21" s="32"/>
      <x:c r="F21" s="32" t="n">
        <x:v>266.479</x:v>
      </x:c>
      <x:c r="G21" s="38" t="str">
        <x:v>S1</x:v>
      </x:c>
    </x:row>
    <x:row r="22">
      <x:c r="A22" t="str">
        <x:v>PP&amp;E, net</x:v>
      </x:c>
      <x:c r="B22" s="32"/>
      <x:c r="C22" s="32"/>
      <x:c r="D22" s="32"/>
      <x:c r="E22" s="32"/>
      <x:c r="F22" s="32" t="n">
        <x:v>3600.191</x:v>
      </x:c>
      <x:c r="G22" s="38" t="str">
        <x:v>S1</x:v>
      </x:c>
    </x:row>
    <x:row r="23">
      <x:c r="A23" t="str">
        <x:v>Long-term debt current</x:v>
      </x:c>
      <x:c r="B23" s="32"/>
      <x:c r="C23" s="32"/>
      <x:c r="D23" s="32"/>
      <x:c r="E23" s="32"/>
      <x:c r="F23" s="32" t="n">
        <x:v>90.718</x:v>
      </x:c>
      <x:c r="G23" s="38" t="str">
        <x:v>S1</x:v>
      </x:c>
    </x:row>
    <x:row r="24">
      <x:c r="A24" t="str">
        <x:v>Long-term debt</x:v>
      </x:c>
      <x:c r="B24" s="32"/>
      <x:c r="C24" s="32"/>
      <x:c r="D24" s="32"/>
      <x:c r="E24" s="32"/>
      <x:c r="F24" s="32" t="n">
        <x:v>3019.335</x:v>
      </x:c>
      <x:c r="G24" s="38" t="str">
        <x:v>S1</x:v>
      </x:c>
    </x:row>
    <x:row r="25">
      <x:c r="A25" t="str">
        <x:v>Convertible notes short-term</x:v>
      </x:c>
      <x:c r="B25" s="32"/>
      <x:c r="C25" s="32"/>
      <x:c r="D25" s="32"/>
      <x:c r="E25" s="32"/>
      <x:c r="F25" s="32" t="n">
        <x:v>1101.976</x:v>
      </x:c>
      <x:c r="G25" s="38" t="str">
        <x:v>S1</x:v>
      </x:c>
    </x:row>
    <x:row r="26">
      <x:c r="A26" t="str">
        <x:v>Convertible notes long-term</x:v>
      </x:c>
      <x:c r="B26" s="32"/>
      <x:c r="C26" s="32"/>
      <x:c r="D26" s="32"/>
      <x:c r="E26" s="32"/>
      <x:c r="F26" s="32" t="n">
        <x:v>1001.083</x:v>
      </x:c>
      <x:c r="G26" s="38" t="str">
        <x:v>S1</x:v>
      </x:c>
    </x:row>
    <x:row r="27">
      <x:c r="A27" t="str">
        <x:v>Common shares outstanding (mm)</x:v>
      </x:c>
      <x:c r="B27" s="33"/>
      <x:c r="C27" s="33"/>
      <x:c r="D27" s="33"/>
      <x:c r="E27" s="33"/>
      <x:c r="F27" s="34" t="n">
        <x:v>498.932431</x:v>
      </x:c>
      <x:c r="G27" s="38" t="str">
        <x:v>S1</x:v>
      </x:c>
    </x:row>
    <x:row r="28">
      <x:c r="A28" t="str">
        <x:v>Total warrants reference (mm)</x:v>
      </x:c>
      <x:c r="B28" s="33"/>
      <x:c r="C28" s="33" t="n">
        <x:v>80.879054</x:v>
      </x:c>
      <x:c r="D28" s="33"/>
      <x:c r="E28" s="33"/>
      <x:c r="F28" s="34" t="n">
        <x:v>80.879054</x:v>
      </x:c>
      <x:c r="G28" s="38" t="str">
        <x:v>S5</x:v>
      </x:c>
    </x:row>
    <x:row r="29">
      <x:c r="A29" t="str">
        <x:v>RSUs reference (mm)</x:v>
      </x:c>
      <x:c r="B29" s="33"/>
      <x:c r="C29" s="33" t="n">
        <x:v>47.463851</x:v>
      </x:c>
      <x:c r="D29" s="33"/>
      <x:c r="E29" s="33"/>
      <x:c r="F29" s="34" t="n">
        <x:v>47.463851</x:v>
      </x:c>
      <x:c r="G29" s="38" t="str">
        <x:v>S5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3" hidden="0" customWidth="1"/>
    <x:col min="5" max="5" width="20" hidden="0" customWidth="1"/>
    <x:col min="6" max="6" width="14" hidden="0" customWidth="1"/>
    <x:col min="7" max="7" width="20" hidden="0" customWidth="1"/>
    <x:col min="8" max="8" width="34" hidden="0" customWidth="1"/>
  </x:cols>
  <x:sheetData>
    <x:row r="1" ht="28" customHeight="1">
      <x:c r="A1" s="4" t="str">
        <x:v>Contracted HPC Economics &amp; Development Pipeline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Lake Mariner NOI is company-disclosed. Anthropic NOI is modeled from contract revenue because company has not disclosed project NOI. Pipeline values are probability-weighted analyst assumptions.</x:v>
      </x:c>
      <x:c r="B2" s="10"/>
      <x:c r="C2" s="10"/>
      <x:c r="D2" s="10"/>
      <x:c r="E2" s="10"/>
      <x:c r="F2" s="10"/>
      <x:c r="G2" s="10"/>
      <x:c r="H2" s="10"/>
    </x:row>
    <x:row r="4">
      <x:c r="A4" s="41" t="str">
        <x:v>Contracted / Near-Contracted Assets</x:v>
      </x:c>
      <x:c r="B4" s="41" t="str">
        <x:v>Contracted / Near-Contracted Assets</x:v>
      </x:c>
      <x:c r="C4" s="41" t="str">
        <x:v>Contracted / Near-Contracted Assets</x:v>
      </x:c>
      <x:c r="D4" s="41" t="str">
        <x:v>Contracted / Near-Contracted Assets</x:v>
      </x:c>
      <x:c r="E4" s="41" t="str">
        <x:v>Contracted / Near-Contracted Assets</x:v>
      </x:c>
      <x:c r="F4" s="41" t="str">
        <x:v>Contracted / Near-Contracted Assets</x:v>
      </x:c>
      <x:c r="G4" s="41" t="str">
        <x:v>Contracted / Near-Contracted Assets</x:v>
      </x:c>
      <x:c r="H4" s="41" t="str">
        <x:v>Contracted / Near-Contracted Assets</x:v>
      </x:c>
    </x:row>
    <x:row r="5">
      <x:c r="A5" s="19" t="str">
        <x:v>Asset</x:v>
      </x:c>
      <x:c r="B5" s="19" t="str">
        <x:v>Critical IT MW</x:v>
      </x:c>
      <x:c r="C5" s="19" t="str">
        <x:v>Contract revenue ($bn)</x:v>
      </x:c>
      <x:c r="D5" s="19" t="str">
        <x:v>Initial term</x:v>
      </x:c>
      <x:c r="E5" s="19" t="str">
        <x:v>Avg annual revenue ($mm)</x:v>
      </x:c>
      <x:c r="F5" s="19" t="str">
        <x:v>NOI margin</x:v>
      </x:c>
      <x:c r="G5" s="19" t="str">
        <x:v>Avg annual NOI ($mm)</x:v>
      </x:c>
      <x:c r="H5" s="19" t="str">
        <x:v>Status / source</x:v>
      </x:c>
    </x:row>
    <x:row r="6">
      <x:c r="A6" t="str">
        <x:v>Lake Mariner — Core42</x:v>
      </x:c>
      <x:c r="B6" s="52" t="n">
        <x:v>60</x:v>
      </x:c>
      <x:c r="C6" s="53" t="n">
        <x:v>1</x:v>
      </x:c>
      <x:c r="D6" s="54" t="n">
        <x:v>10</x:v>
      </x:c>
      <x:c r="E6" s="32" t="n">
        <x:v>100</x:v>
      </x:c>
      <x:c r="F6" s="55" t="n">
        <x:v>0.92</x:v>
      </x:c>
      <x:c r="G6" s="32" t="n">
        <x:v>92</x:v>
      </x:c>
      <x:c r="H6" t="str">
        <x:v>Disclosed annual NOI; S2</x:v>
      </x:c>
    </x:row>
    <x:row r="7">
      <x:c r="A7" t="str">
        <x:v>Lake Mariner — Fluidstack</x:v>
      </x:c>
      <x:c r="B7" s="52" t="n">
        <x:v>366</x:v>
      </x:c>
      <x:c r="C7" s="53" t="n">
        <x:v>6.7</x:v>
      </x:c>
      <x:c r="D7" s="54" t="n">
        <x:v>10</x:v>
      </x:c>
      <x:c r="E7" s="32" t="n">
        <x:v>670</x:v>
      </x:c>
      <x:c r="F7" s="55" t="n">
        <x:v>0.85</x:v>
      </x:c>
      <x:c r="G7" s="32" t="n">
        <x:v>570</x:v>
      </x:c>
      <x:c r="H7" t="str">
        <x:v>Disclosed annual NOI; Google-backed; S2</x:v>
      </x:c>
    </x:row>
    <x:row r="8">
      <x:c r="A8" t="str">
        <x:v>Justified — Anthropic</x:v>
      </x:c>
      <x:c r="B8" s="52" t="n">
        <x:v>401</x:v>
      </x:c>
      <x:c r="C8" s="53" t="n">
        <x:v>19</x:v>
      </x:c>
      <x:c r="D8" s="54" t="n">
        <x:v>20</x:v>
      </x:c>
      <x:c r="E8" s="32" t="n">
        <x:v>950</x:v>
      </x:c>
      <x:c r="F8" s="55" t="n">
        <x:v>0.8</x:v>
      </x:c>
      <x:c r="G8" s="60" t="n">
        <x:f>E8*F8</x:f>
        <x:v>760</x:v>
      </x:c>
      <x:c r="H8" t="str">
        <x:v>NOI margin analyst assumption; lease terms S1/S3</x:v>
      </x:c>
    </x:row>
    <x:row r="9">
      <x:c r="A9" s="64" t="str">
        <x:v>Total contracted</x:v>
      </x:c>
      <x:c r="B9" s="68" t="n">
        <x:f>SUM(B6:B8)</x:f>
        <x:v>827</x:v>
      </x:c>
      <x:c r="C9" s="70" t="n">
        <x:f>SUM(C6:C8)</x:f>
        <x:v>26.7</x:v>
      </x:c>
      <x:c r="D9" s="65"/>
      <x:c r="E9" s="72" t="n">
        <x:f>SUM(E6:E8)</x:f>
        <x:v>1720</x:v>
      </x:c>
      <x:c r="F9" s="72"/>
      <x:c r="G9" s="72" t="n">
        <x:f>SUM(G6:G8)</x:f>
        <x:v>1422</x:v>
      </x:c>
      <x:c r="H9" s="64"/>
    </x:row>
    <x:row r="12">
      <x:c r="A12" s="41" t="str">
        <x:v>Latest Development Footprint</x:v>
      </x:c>
      <x:c r="B12" s="41" t="str">
        <x:v>Latest Development Footprint</x:v>
      </x:c>
      <x:c r="C12" s="41" t="str">
        <x:v>Latest Development Footprint</x:v>
      </x:c>
      <x:c r="D12" s="41" t="str">
        <x:v>Latest Development Footprint</x:v>
      </x:c>
      <x:c r="E12" s="41" t="str">
        <x:v>Latest Development Footprint</x:v>
      </x:c>
      <x:c r="F12" s="41" t="str">
        <x:v>Latest Development Footprint</x:v>
      </x:c>
      <x:c r="G12" s="41" t="str">
        <x:v>Latest Development Footprint</x:v>
      </x:c>
      <x:c r="H12" s="41" t="str">
        <x:v>Latest Development Footprint</x:v>
      </x:c>
    </x:row>
    <x:row r="13">
      <x:c r="A13" s="19" t="str">
        <x:v>Site</x:v>
      </x:c>
      <x:c r="B13" s="19" t="str">
        <x:v>Power / critical IT potential</x:v>
      </x:c>
      <x:c r="C13" s="19" t="str">
        <x:v>Timing</x:v>
      </x:c>
      <x:c r="D13" s="19" t="str">
        <x:v>Contract status</x:v>
      </x:c>
      <x:c r="E13" s="19" t="str">
        <x:v>Source</x:v>
      </x:c>
    </x:row>
    <x:row r="14">
      <x:c r="A14" s="26" t="str">
        <x:v>Lake Mariner</x:v>
      </x:c>
      <x:c r="B14" s="26" t="str">
        <x:v>102 MW online + 336 MW under construction; pursuing +250 MW</x:v>
      </x:c>
      <x:c r="C14" s="26" t="str">
        <x:v>CB4 phased 2H26; CB5 early 2027</x:v>
      </x:c>
      <x:c r="D14" s="26" t="str">
        <x:v>Core42 + Fluidstack contracted</x:v>
      </x:c>
      <x:c r="E14" s="26" t="str">
        <x:v>S1</x:v>
      </x:c>
    </x:row>
    <x:row r="15">
      <x:c r="A15" s="26" t="str">
        <x:v>Justified (Hawesville KY)</x:v>
      </x:c>
      <x:c r="B15" s="26" t="str">
        <x:v>401 MW critical IT leased; site up to ~480MW gross</x:v>
      </x:c>
      <x:c r="C15" s="26" t="str">
        <x:v>Initial H2 2027; full early 2028</x:v>
      </x:c>
      <x:c r="D15" s="26" t="str">
        <x:v>Anthropic contracted</x:v>
      </x:c>
      <x:c r="E15" s="26" t="str">
        <x:v>S1/S3</x:v>
      </x:c>
    </x:row>
    <x:row r="16">
      <x:c r="A16" s="26" t="str">
        <x:v>Muskie (Grayson KY)</x:v>
      </x:c>
      <x:c r="B16" s="26" t="str">
        <x:v>Up to 1 GW electric service</x:v>
      </x:c>
      <x:c r="C16" s="26" t="str">
        <x:v>Initial data center target Q4 2028</x:v>
      </x:c>
      <x:c r="D16" s="26" t="str">
        <x:v>No tenant disclosed</x:v>
      </x:c>
      <x:c r="E16" s="26" t="str">
        <x:v>S1</x:v>
      </x:c>
    </x:row>
    <x:row r="17">
      <x:c r="A17" s="26" t="str">
        <x:v>Chesapeake (MD)</x:v>
      </x:c>
      <x:c r="B17" s="26" t="str">
        <x:v>210 MW generation; potential up to 1 GW campus</x:v>
      </x:c>
      <x:c r="C17" s="26" t="str">
        <x:v>Initial data center operations contemplated 2030</x:v>
      </x:c>
      <x:c r="D17" s="26" t="str">
        <x:v>No tenant disclosed</x:v>
      </x:c>
      <x:c r="E17" s="26" t="str">
        <x:v>S1</x:v>
      </x:c>
    </x:row>
    <x:row r="18">
      <x:c r="A18" s="26" t="str">
        <x:v>Lake Hawkeye</x:v>
      </x:c>
      <x:c r="B18" s="26" t="str">
        <x:v>Potential ~320 MW critical IT</x:v>
      </x:c>
      <x:c r="C18" s="26" t="str">
        <x:v>Around 2029</x:v>
      </x:c>
      <x:c r="D18" s="26" t="str">
        <x:v>No tenant disclosed</x:v>
      </x:c>
      <x:c r="E18" s="26" t="str">
        <x:v>S1</x:v>
      </x:c>
    </x:row>
    <x:row r="21">
      <x:c r="A21" s="41" t="str">
        <x:v>Pipeline Option Assumptions</x:v>
      </x:c>
      <x:c r="B21" s="41" t="str">
        <x:v>Pipeline Option Assumptions</x:v>
      </x:c>
      <x:c r="C21" s="41" t="str">
        <x:v>Pipeline Option Assumptions</x:v>
      </x:c>
      <x:c r="D21" s="41" t="str">
        <x:v>Pipeline Option Assumptions</x:v>
      </x:c>
      <x:c r="E21" s="41" t="str">
        <x:v>Pipeline Option Assumptions</x:v>
      </x:c>
      <x:c r="F21" s="41" t="str">
        <x:v>Pipeline Option Assumptions</x:v>
      </x:c>
      <x:c r="G21" s="41" t="str">
        <x:v>Pipeline Option Assumptions</x:v>
      </x:c>
      <x:c r="H21" s="41" t="str">
        <x:v>Pipeline Option Assumptions</x:v>
      </x:c>
    </x:row>
    <x:row r="22">
      <x:c r="A22" s="19" t="str">
        <x:v>Metric</x:v>
      </x:c>
      <x:c r="B22" s="19" t="str">
        <x:v>Bear</x:v>
      </x:c>
      <x:c r="C22" s="19" t="str">
        <x:v>Base</x:v>
      </x:c>
      <x:c r="D22" s="19" t="str">
        <x:v>Bull</x:v>
      </x:c>
    </x:row>
    <x:row r="23">
      <x:c r="A23" t="str">
        <x:v>Risk-adjusted future leased MW by 2030</x:v>
      </x:c>
      <x:c r="B23" s="82" t="n">
        <x:v>300</x:v>
      </x:c>
      <x:c r="C23" s="82" t="n">
        <x:v>750</x:v>
      </x:c>
      <x:c r="D23" s="82" t="n">
        <x:v>1500</x:v>
      </x:c>
    </x:row>
    <x:row r="24">
      <x:c r="A24" t="str">
        <x:v>NOI / MW ($mm)</x:v>
      </x:c>
      <x:c r="B24" s="83" t="n">
        <x:v>1.4</x:v>
      </x:c>
      <x:c r="C24" s="83" t="n">
        <x:v>1.55</x:v>
      </x:c>
      <x:c r="D24" s="83" t="n">
        <x:v>1.7</x:v>
      </x:c>
    </x:row>
    <x:row r="25">
      <x:c r="A25" t="str">
        <x:v>Asset EV / NOI multiple</x:v>
      </x:c>
      <x:c r="B25" s="84" t="n">
        <x:v>10</x:v>
      </x:c>
      <x:c r="C25" s="84" t="n">
        <x:v>13</x:v>
      </x:c>
      <x:c r="D25" s="84" t="n">
        <x:v>16</x:v>
      </x:c>
    </x:row>
    <x:row r="26">
      <x:c r="A26" t="str">
        <x:v>Success probability</x:v>
      </x:c>
      <x:c r="B26" s="85" t="n">
        <x:v>0.35</x:v>
      </x:c>
      <x:c r="C26" s="85" t="n">
        <x:v>0.45</x:v>
      </x:c>
      <x:c r="D26" s="85" t="n">
        <x:v>0.6</x:v>
      </x:c>
    </x:row>
    <x:row r="27">
      <x:c r="A27" t="str">
        <x:v>Discount rate</x:v>
      </x:c>
      <x:c r="B27" s="85" t="n">
        <x:v>0.14</x:v>
      </x:c>
      <x:c r="C27" s="85" t="n">
        <x:v>0.115</x:v>
      </x:c>
      <x:c r="D27" s="85" t="n">
        <x:v>0.1</x:v>
      </x:c>
    </x:row>
    <x:row r="28">
      <x:c r="A28" t="str">
        <x:v>Years to valuation point</x:v>
      </x:c>
      <x:c r="B28" s="86" t="n">
        <x:v>4.4</x:v>
      </x:c>
      <x:c r="C28" s="86" t="n">
        <x:v>4.4</x:v>
      </x:c>
      <x:c r="D28" s="86" t="n">
        <x:v>4.4</x:v>
      </x:c>
    </x:row>
    <x:row r="30">
      <x:c r="A30" s="96" t="str">
        <x:v>Pipeline option PV ($bn)</x:v>
      </x:c>
      <x:c r="B30" s="97" t="n">
        <x:f>B23*B24*B25*B26/1000/(1+B27)^B28</x:f>
        <x:v>0.8259162079245097</x:v>
      </x:c>
      <x:c r="C30" s="97" t="n">
        <x:f>C23*C24*C25*C26/1000/(1+C27)^C28</x:f>
        <x:v>4.212495123745509</x:v>
      </x:c>
      <x:c r="D30" s="97" t="n">
        <x:f>D23*D24*D25*D26/1000/(1+D27)^D28</x:f>
        <x:v>16.09472641556108</x:v>
      </x:c>
    </x:row>
  </x:sheetData>
  <x:mergeCells>
    <x:mergeCell ref="A1:H1"/>
    <x:mergeCell ref="A2:H2"/>
    <x:mergeCell ref="A4:H4"/>
    <x:mergeCell ref="A12:H12"/>
    <x:mergeCell ref="A21:H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8" hidden="0" customWidth="1"/>
    <x:col min="3" max="3" width="34" hidden="0" customWidth="1"/>
    <x:col min="4" max="4" width="34" hidden="0" customWidth="1"/>
  </x:cols>
  <x:sheetData>
    <x:row r="1" ht="28" customHeight="1">
      <x:c r="A1" s="4" t="str">
        <x:v>Capital Structure &amp; Dilution</x:v>
      </x:c>
      <x:c r="B1" s="4"/>
      <x:c r="C1" s="4"/>
      <x:c r="D1" s="4"/>
      <x:c r="E1" s="4"/>
      <x:c r="F1" s="4"/>
    </x:row>
    <x:row r="2" ht="28" customHeight="1">
      <x:c r="A2" s="10" t="str">
        <x:v>Convertibles are treated as debt in core valuation methods, so their potential conversion shares are excluded from the main share denominator to avoid double counting. Warrants/RSUs are included.</x:v>
      </x:c>
      <x:c r="B2" s="10"/>
      <x:c r="C2" s="10"/>
      <x:c r="D2" s="10"/>
      <x:c r="E2" s="10"/>
      <x:c r="F2" s="10"/>
    </x:row>
    <x:row r="4">
      <x:c r="A4" s="19" t="str">
        <x:v>Metric</x:v>
      </x:c>
      <x:c r="B4" s="19" t="str">
        <x:v>Value</x:v>
      </x:c>
      <x:c r="C4" s="19" t="str">
        <x:v>Source / treatment</x:v>
      </x:c>
    </x:row>
    <x:row r="5">
      <x:c r="A5" t="str">
        <x:v>Cash + restricted cash ($bn)</x:v>
      </x:c>
      <x:c r="B5" s="104" t="n">
        <x:f>(Historical!F19+Historical!F20+Historical!F21)/1000</x:f>
        <x:v>3.0286079999999997</x:v>
      </x:c>
      <x:c r="C5" t="str">
        <x:v>S1</x:v>
      </x:c>
    </x:row>
    <x:row r="6">
      <x:c r="A6" t="str">
        <x:v>Debt carrying value ($bn)</x:v>
      </x:c>
      <x:c r="B6" s="104" t="n">
        <x:f>(Historical!F23+Historical!F24+Historical!F25+Historical!F26)/1000</x:f>
        <x:v>5.213112</x:v>
      </x:c>
      <x:c r="C6" t="str">
        <x:v>S1</x:v>
      </x:c>
    </x:row>
    <x:row r="7">
      <x:c r="A7" t="str">
        <x:v>Current net debt ($bn)</x:v>
      </x:c>
      <x:c r="B7" s="104" t="n">
        <x:f>B6-B5</x:f>
        <x:v>2.184504</x:v>
      </x:c>
      <x:c r="C7" t="str">
        <x:v>Calculated</x:v>
      </x:c>
    </x:row>
    <x:row r="8">
      <x:c r="A8" t="str">
        <x:v>Abernathy sale proceeds ($bn)</x:v>
      </x:c>
      <x:c r="B8" s="53" t="n">
        <x:v>0.53</x:v>
      </x:c>
      <x:c r="C8" t="str">
        <x:v>S1/S3; subsequent event</x:v>
      </x:c>
    </x:row>
    <x:row r="9">
      <x:c r="A9" t="str">
        <x:v>Pro forma net debt after Abernathy ($bn)</x:v>
      </x:c>
      <x:c r="B9" s="92" t="n">
        <x:f>B7-B8</x:f>
        <x:v>1.654504</x:v>
      </x:c>
      <x:c r="C9" t="str">
        <x:v>Calculated before further capex</x:v>
      </x:c>
    </x:row>
    <x:row r="10">
      <x:c r="A10" t="str">
        <x:v>Common shares outstanding (mm)</x:v>
      </x:c>
      <x:c r="B10" s="34" t="n">
        <x:v>498.932431</x:v>
      </x:c>
      <x:c r="C10" t="str">
        <x:v>S1</x:v>
      </x:c>
    </x:row>
    <x:row r="11">
      <x:c r="A11" t="str">
        <x:v>Warrants reference (mm)</x:v>
      </x:c>
      <x:c r="B11" s="34" t="n">
        <x:v>80.879054</x:v>
      </x:c>
      <x:c r="C11" t="str">
        <x:v>S5</x:v>
      </x:c>
    </x:row>
    <x:row r="12">
      <x:c r="A12" t="str">
        <x:v>RSUs reference (mm)</x:v>
      </x:c>
      <x:c r="B12" s="34" t="n">
        <x:v>47.463851</x:v>
      </x:c>
      <x:c r="C12" t="str">
        <x:v>S5</x:v>
      </x:c>
    </x:row>
    <x:row r="13">
      <x:c r="A13" t="str">
        <x:v>Core diluted shares (mm)</x:v>
      </x:c>
      <x:c r="B13" s="106" t="n">
        <x:f>SUM(B10:B12)</x:f>
        <x:v>627.2753359999999</x:v>
      </x:c>
      <x:c r="C13" t="str">
        <x:v>Calculated</x:v>
      </x:c>
    </x:row>
    <x:row r="14">
      <x:c r="A14" t="str">
        <x:v>2030 convert reserve shares (mm)</x:v>
      </x:c>
      <x:c r="B14" s="34" t="n">
        <x:v>58.96225</x:v>
      </x:c>
      <x:c r="C14" t="str">
        <x:v>S6; excluded while debt remains debt</x:v>
      </x:c>
    </x:row>
    <x:row r="15">
      <x:c r="A15" t="str">
        <x:v>2031 convert reserve shares (mm)</x:v>
      </x:c>
      <x:c r="B15" s="34" t="n">
        <x:v>80.4602</x:v>
      </x:c>
      <x:c r="C15" t="str">
        <x:v>S6; excluded while debt remains debt</x:v>
      </x:c>
    </x:row>
    <x:row r="16">
      <x:c r="A16" t="str">
        <x:v>2032 convert reserve shares (mm)</x:v>
      </x:c>
      <x:c r="B16" s="34" t="n">
        <x:v>51.410618</x:v>
      </x:c>
      <x:c r="C16" t="str">
        <x:v>S6; excluded while debt remains debt</x:v>
      </x:c>
    </x:row>
    <x:row r="18">
      <x:c r="A18" s="19" t="str">
        <x:v>Projected funding metric</x:v>
      </x:c>
      <x:c r="B18" s="19" t="str">
        <x:v>Bear</x:v>
      </x:c>
      <x:c r="C18" s="19" t="str">
        <x:v>Base</x:v>
      </x:c>
      <x:c r="D18" s="19" t="str">
        <x:v>Bull</x:v>
      </x:c>
    </x:row>
    <x:row r="19">
      <x:c r="A19" t="str">
        <x:v>Incremental net debt / cash burn to stabilize contracted assets ($bn)</x:v>
      </x:c>
      <x:c r="B19" s="110" t="n">
        <x:v>5.8</x:v>
      </x:c>
      <x:c r="C19" s="110" t="n">
        <x:v>4</x:v>
      </x:c>
      <x:c r="D19" s="110" t="n">
        <x:v>3</x:v>
      </x:c>
    </x:row>
    <x:row r="20">
      <x:c r="A20" t="str">
        <x:v>Projected stabilized net debt ($bn)</x:v>
      </x:c>
      <x:c r="B20" s="92" t="n">
        <x:f>$B$9+B19</x:f>
        <x:v>7.454504</x:v>
      </x:c>
      <x:c r="C20" s="92" t="n">
        <x:f>$B$9+C19</x:f>
        <x:v>5.654504</x:v>
      </x:c>
      <x:c r="D20" s="92" t="n">
        <x:f>$B$9+D19</x:f>
        <x:v>4.654504</x:v>
      </x:c>
    </x:row>
    <x:row r="21">
      <x:c r="A21" t="str">
        <x:v>Valuation share count (mm)</x:v>
      </x:c>
      <x:c r="B21" s="86" t="n">
        <x:v>650</x:v>
      </x:c>
      <x:c r="C21" s="86" t="n">
        <x:v>627.275</x:v>
      </x:c>
      <x:c r="D21" s="86" t="n">
        <x:v>640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2026–2035 Bottom-Up Forecast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Base forecast separates Core42, Fluidstack, Anthropic, legacy mining and uncontracted pipeline revenue. Bear/Bull apply explicit revenue and margin scalers. USD $bn except MW.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1" t="str">
        <x:v>Base Revenue Build</x:v>
      </x:c>
      <x:c r="B5" s="41" t="str">
        <x:v>Base Revenue Build</x:v>
      </x:c>
      <x:c r="C5" s="41" t="str">
        <x:v>Base Revenue Build</x:v>
      </x:c>
      <x:c r="D5" s="41" t="str">
        <x:v>Base Revenue Build</x:v>
      </x:c>
      <x:c r="E5" s="41" t="str">
        <x:v>Base Revenue Build</x:v>
      </x:c>
      <x:c r="F5" s="41" t="str">
        <x:v>Base Revenue Build</x:v>
      </x:c>
      <x:c r="G5" s="41" t="str">
        <x:v>Base Revenue Build</x:v>
      </x:c>
      <x:c r="H5" s="41" t="str">
        <x:v>Base Revenue Build</x:v>
      </x:c>
      <x:c r="I5" s="41" t="str">
        <x:v>Base Revenue Build</x:v>
      </x:c>
      <x:c r="J5" s="41" t="str">
        <x:v>Base Revenue Build</x:v>
      </x:c>
      <x:c r="K5" s="41" t="str">
        <x:v>Base Revenue Build</x:v>
      </x:c>
    </x:row>
    <x:row r="6">
      <x:c r="A6" t="str">
        <x:v>Core42 revenue</x:v>
      </x:c>
      <x:c r="B6" s="110" t="n">
        <x:v>0.1082</x:v>
      </x:c>
      <x:c r="C6" s="110" t="n">
        <x:v>0.1082</x:v>
      </x:c>
      <x:c r="D6" s="110" t="n">
        <x:v>0.1082</x:v>
      </x:c>
      <x:c r="E6" s="110" t="n">
        <x:v>0.1082</x:v>
      </x:c>
      <x:c r="F6" s="110" t="n">
        <x:v>0.1082</x:v>
      </x:c>
      <x:c r="G6" s="110" t="n">
        <x:v>0.1082</x:v>
      </x:c>
      <x:c r="H6" s="110" t="n">
        <x:v>0.1082</x:v>
      </x:c>
      <x:c r="I6" s="110" t="n">
        <x:v>0.1082</x:v>
      </x:c>
      <x:c r="J6" s="110" t="n">
        <x:v>0.1082</x:v>
      </x:c>
      <x:c r="K6" s="110" t="n">
        <x:v>0.1082</x:v>
      </x:c>
    </x:row>
    <x:row r="7">
      <x:c r="A7" t="str">
        <x:v>Fluidstack Lake Mariner revenue</x:v>
      </x:c>
      <x:c r="B7" s="110" t="n">
        <x:v>0.2</x:v>
      </x:c>
      <x:c r="C7" s="110" t="n">
        <x:v>0.57</x:v>
      </x:c>
      <x:c r="D7" s="110" t="n">
        <x:v>0.67</x:v>
      </x:c>
      <x:c r="E7" s="110" t="n">
        <x:v>0.67</x:v>
      </x:c>
      <x:c r="F7" s="110" t="n">
        <x:v>0.67</x:v>
      </x:c>
      <x:c r="G7" s="110" t="n">
        <x:v>0.67</x:v>
      </x:c>
      <x:c r="H7" s="110" t="n">
        <x:v>0.67</x:v>
      </x:c>
      <x:c r="I7" s="110" t="n">
        <x:v>0.67</x:v>
      </x:c>
      <x:c r="J7" s="110" t="n">
        <x:v>0.67</x:v>
      </x:c>
      <x:c r="K7" s="110" t="n">
        <x:v>0.67</x:v>
      </x:c>
    </x:row>
    <x:row r="8">
      <x:c r="A8" t="str">
        <x:v>Anthropic Justified revenue</x:v>
      </x:c>
      <x:c r="B8" s="110" t="n">
        <x:v>0</x:v>
      </x:c>
      <x:c r="C8" s="110" t="n">
        <x:v>0.1425</x:v>
      </x:c>
      <x:c r="D8" s="110" t="n">
        <x:v>0.855</x:v>
      </x:c>
      <x:c r="E8" s="110" t="n">
        <x:v>0.95</x:v>
      </x:c>
      <x:c r="F8" s="110" t="n">
        <x:v>0.95</x:v>
      </x:c>
      <x:c r="G8" s="110" t="n">
        <x:v>0.95</x:v>
      </x:c>
      <x:c r="H8" s="110" t="n">
        <x:v>0.95</x:v>
      </x:c>
      <x:c r="I8" s="110" t="n">
        <x:v>0.95</x:v>
      </x:c>
      <x:c r="J8" s="110" t="n">
        <x:v>0.95</x:v>
      </x:c>
      <x:c r="K8" s="110" t="n">
        <x:v>0.95</x:v>
      </x:c>
    </x:row>
    <x:row r="9">
      <x:c r="A9" t="str">
        <x:v>Legacy digital-asset revenue</x:v>
      </x:c>
      <x:c r="B9" s="110" t="n">
        <x:v>0.05</x:v>
      </x:c>
      <x:c r="C9" s="110" t="n">
        <x:v>0.02</x:v>
      </x:c>
      <x:c r="D9" s="110" t="n">
        <x:v>0.005</x:v>
      </x:c>
      <x:c r="E9" s="110" t="n">
        <x:v>0</x:v>
      </x:c>
      <x:c r="F9" s="110" t="n">
        <x:v>0</x:v>
      </x:c>
      <x:c r="G9" s="110" t="n">
        <x:v>0</x:v>
      </x:c>
      <x:c r="H9" s="110" t="n">
        <x:v>0</x:v>
      </x:c>
      <x:c r="I9" s="110" t="n">
        <x:v>0</x:v>
      </x:c>
      <x:c r="J9" s="110" t="n">
        <x:v>0</x:v>
      </x:c>
      <x:c r="K9" s="110" t="n">
        <x:v>0</x:v>
      </x:c>
    </x:row>
    <x:row r="10">
      <x:c r="A10" t="str">
        <x:v>New pipeline revenue</x:v>
      </x:c>
      <x:c r="B10" s="110" t="n">
        <x:v>0</x:v>
      </x:c>
      <x:c r="C10" s="110" t="n">
        <x:v>0</x:v>
      </x:c>
      <x:c r="D10" s="110" t="n">
        <x:v>0.095</x:v>
      </x:c>
      <x:c r="E10" s="110" t="n">
        <x:v>0.475</x:v>
      </x:c>
      <x:c r="F10" s="110" t="n">
        <x:v>0.95</x:v>
      </x:c>
      <x:c r="G10" s="110" t="n">
        <x:v>1.52</x:v>
      </x:c>
      <x:c r="H10" s="110" t="n">
        <x:v>2.09</x:v>
      </x:c>
      <x:c r="I10" s="110" t="n">
        <x:v>2.66</x:v>
      </x:c>
      <x:c r="J10" s="110" t="n">
        <x:v>3.23</x:v>
      </x:c>
      <x:c r="K10" s="110" t="n">
        <x:v>3.8</x:v>
      </x:c>
    </x:row>
    <x:row r="11">
      <x:c r="A11" t="str">
        <x:v>Total revenue</x:v>
      </x:c>
      <x:c r="B11" s="92" t="n">
        <x:f>SUM(B6:B10)</x:f>
        <x:v>0.3582</x:v>
      </x:c>
      <x:c r="C11" s="92" t="n">
        <x:f>SUM(C6:C10)</x:f>
        <x:v>0.8406999999999999</x:v>
      </x:c>
      <x:c r="D11" s="92" t="n">
        <x:f>SUM(D6:D10)</x:f>
        <x:v>1.7331999999999999</x:v>
      </x:c>
      <x:c r="E11" s="92" t="n">
        <x:f>SUM(E6:E10)</x:f>
        <x:v>2.2032</x:v>
      </x:c>
      <x:c r="F11" s="92" t="n">
        <x:f>SUM(F6:F10)</x:f>
        <x:v>2.6782</x:v>
      </x:c>
      <x:c r="G11" s="92" t="n">
        <x:f>SUM(G6:G10)</x:f>
        <x:v>3.2481999999999998</x:v>
      </x:c>
      <x:c r="H11" s="92" t="n">
        <x:f>SUM(H6:H10)</x:f>
        <x:v>3.8182</x:v>
      </x:c>
      <x:c r="I11" s="92" t="n">
        <x:f>SUM(I6:I10)</x:f>
        <x:v>4.3882</x:v>
      </x:c>
      <x:c r="J11" s="92" t="n">
        <x:f>SUM(J6:J10)</x:f>
        <x:v>4.9582</x:v>
      </x:c>
      <x:c r="K11" s="92" t="n">
        <x:f>SUM(K6:K10)</x:f>
        <x:v>5.5282</x:v>
      </x:c>
    </x:row>
    <x:row r="12">
      <x:c r="A12" t="str">
        <x:v>YoY growth</x:v>
      </x:c>
      <x:c r="B12" s="112"/>
      <x:c r="C12" s="112" t="n">
        <x:f>C11/B11-1</x:f>
        <x:v>1.3470128419877159</x:v>
      </x:c>
      <x:c r="D12" s="112" t="n">
        <x:f>D11/C11-1</x:f>
        <x:v>1.0616153205661951</x:v>
      </x:c>
      <x:c r="E12" s="112" t="n">
        <x:f>E11/D11-1</x:f>
        <x:v>0.27117470574659586</x:v>
      </x:c>
      <x:c r="F12" s="112" t="n">
        <x:f>F11/E11-1</x:f>
        <x:v>0.21559549745824258</x:v>
      </x:c>
      <x:c r="G12" s="112" t="n">
        <x:f>G11/F11-1</x:f>
        <x:v>0.21282951235904712</x:v>
      </x:c>
      <x:c r="H12" s="112" t="n">
        <x:f>H11/G11-1</x:f>
        <x:v>0.17548180530755508</x:v>
      </x:c>
      <x:c r="I12" s="112" t="n">
        <x:f>I11/H11-1</x:f>
        <x:v>0.1492850034047457</x:v>
      </x:c>
      <x:c r="J12" s="112" t="n">
        <x:f>J11/I11-1</x:f>
        <x:v>0.129893806116403</x:v>
      </x:c>
      <x:c r="K12" s="112" t="n">
        <x:f>K11/J11-1</x:f>
        <x:v>0.11496107458351834</x:v>
      </x:c>
    </x:row>
    <x:row r="15">
      <x:c r="A15" s="41" t="str">
        <x:v>Scenario Financial Forecast</x:v>
      </x:c>
      <x:c r="B15" s="41" t="str">
        <x:v>Scenario Financial Forecast</x:v>
      </x:c>
      <x:c r="C15" s="41" t="str">
        <x:v>Scenario Financial Forecast</x:v>
      </x:c>
      <x:c r="D15" s="41" t="str">
        <x:v>Scenario Financial Forecast</x:v>
      </x:c>
      <x:c r="E15" s="41" t="str">
        <x:v>Scenario Financial Forecast</x:v>
      </x:c>
      <x:c r="F15" s="41" t="str">
        <x:v>Scenario Financial Forecast</x:v>
      </x:c>
      <x:c r="G15" s="41" t="str">
        <x:v>Scenario Financial Forecast</x:v>
      </x:c>
      <x:c r="H15" s="41" t="str">
        <x:v>Scenario Financial Forecast</x:v>
      </x:c>
      <x:c r="I15" s="41" t="str">
        <x:v>Scenario Financial Forecast</x:v>
      </x:c>
      <x:c r="J15" s="41" t="str">
        <x:v>Scenario Financial Forecast</x:v>
      </x:c>
      <x:c r="K15" s="41" t="str">
        <x:v>Scenario Financial Forecast</x:v>
      </x:c>
    </x:row>
    <x:row r="16">
      <x:c r="A16" s="41" t="str">
        <x:v>Bear Scenario</x:v>
      </x:c>
      <x:c r="B16" s="41" t="str">
        <x:v>Bear Scenario</x:v>
      </x:c>
      <x:c r="C16" s="41" t="str">
        <x:v>Bear Scenario</x:v>
      </x:c>
      <x:c r="D16" s="41" t="str">
        <x:v>Bear Scenario</x:v>
      </x:c>
      <x:c r="E16" s="41" t="str">
        <x:v>Bear Scenario</x:v>
      </x:c>
      <x:c r="F16" s="41" t="str">
        <x:v>Bear Scenario</x:v>
      </x:c>
      <x:c r="G16" s="41" t="str">
        <x:v>Bear Scenario</x:v>
      </x:c>
      <x:c r="H16" s="41" t="str">
        <x:v>Bear Scenario</x:v>
      </x:c>
      <x:c r="I16" s="41" t="str">
        <x:v>Bear Scenario</x:v>
      </x:c>
      <x:c r="J16" s="41" t="str">
        <x:v>Bear Scenario</x:v>
      </x:c>
      <x:c r="K16" s="41" t="str">
        <x:v>Bear Scenario</x:v>
      </x:c>
    </x:row>
    <x:row r="17">
      <x:c r="A17" t="str">
        <x:v>Revenue</x:v>
      </x:c>
      <x:c r="B17" s="104" t="n">
        <x:f>B11*0.92</x:f>
        <x:v>0.329544</x:v>
      </x:c>
      <x:c r="C17" s="104" t="n">
        <x:f>C11*0.9</x:f>
        <x:v>0.7566299999999999</x:v>
      </x:c>
      <x:c r="D17" s="104" t="n">
        <x:f>D11*0.85</x:f>
        <x:v>1.4732199999999998</x:v>
      </x:c>
      <x:c r="E17" s="104" t="n">
        <x:f>E11*0.82</x:f>
        <x:v>1.8066239999999998</x:v>
      </x:c>
      <x:c r="F17" s="104" t="n">
        <x:f>F11*0.8</x:f>
        <x:v>2.14256</x:v>
      </x:c>
      <x:c r="G17" s="104" t="n">
        <x:f>G11*0.78</x:f>
        <x:v>2.5335959999999997</x:v>
      </x:c>
      <x:c r="H17" s="104" t="n">
        <x:f>H11*0.77</x:f>
        <x:v>2.940014</x:v>
      </x:c>
      <x:c r="I17" s="104" t="n">
        <x:f>I11*0.76</x:f>
        <x:v>3.3350320000000004</x:v>
      </x:c>
      <x:c r="J17" s="104" t="n">
        <x:f>J11*0.75</x:f>
        <x:v>3.71865</x:v>
      </x:c>
      <x:c r="K17" s="104" t="n">
        <x:f>K11*0.75</x:f>
        <x:v>4.1461500000000004</x:v>
      </x:c>
    </x:row>
    <x:row r="18">
      <x:c r="A18" t="str">
        <x:v>YoY growth</x:v>
      </x:c>
      <x:c r="B18" s="112"/>
      <x:c r="C18" s="112" t="n">
        <x:f>C17/B17-1</x:f>
        <x:v>1.2959908236836353</x:v>
      </x:c>
      <x:c r="D18" s="112" t="n">
        <x:f>D17/C17-1</x:f>
        <x:v>0.9470811360902951</x:v>
      </x:c>
      <x:c r="E18" s="112" t="n">
        <x:f>E17/D17-1</x:f>
        <x:v>0.22630971613201023</x:v>
      </x:c>
      <x:c r="F18" s="112" t="n">
        <x:f>F17/E17-1</x:f>
        <x:v>0.18594682678852958</x:v>
      </x:c>
      <x:c r="G18" s="112" t="n">
        <x:f>G17/F17-1</x:f>
        <x:v>0.18250877455007086</x:v>
      </x:c>
      <x:c r="H18" s="112" t="n">
        <x:f>H17/G17-1</x:f>
        <x:v>0.16041152575232998</x:v>
      </x:c>
      <x:c r="I18" s="112" t="n">
        <x:f>I17/H17-1</x:f>
        <x:v>0.1343592241397491</x:v>
      </x:c>
      <x:c r="J18" s="112" t="n">
        <x:f>J17/I17-1</x:f>
        <x:v>0.11502678235171326</x:v>
      </x:c>
      <x:c r="K18" s="112" t="n">
        <x:f>K17/J17-1</x:f>
        <x:v>0.11496107458351834</x:v>
      </x:c>
    </x:row>
    <x:row r="19">
      <x:c r="A19" t="str">
        <x:v>Adjusted EBITDA margin</x:v>
      </x:c>
      <x:c r="B19" s="112" t="n">
        <x:v>-0.05</x:v>
      </x:c>
      <x:c r="C19" s="112" t="n">
        <x:v>0.3</x:v>
      </x:c>
      <x:c r="D19" s="112" t="n">
        <x:v>0.55</x:v>
      </x:c>
      <x:c r="E19" s="112" t="n">
        <x:v>0.6</x:v>
      </x:c>
      <x:c r="F19" s="112" t="n">
        <x:v>0.63</x:v>
      </x:c>
      <x:c r="G19" s="112" t="n">
        <x:v>0.65</x:v>
      </x:c>
      <x:c r="H19" s="112" t="n">
        <x:v>0.66</x:v>
      </x:c>
      <x:c r="I19" s="112" t="n">
        <x:v>0.67</x:v>
      </x:c>
      <x:c r="J19" s="112" t="n">
        <x:v>0.68</x:v>
      </x:c>
      <x:c r="K19" s="112" t="n">
        <x:v>0.68</x:v>
      </x:c>
    </x:row>
    <x:row r="20">
      <x:c r="A20" t="str">
        <x:v>Adjusted EBITDA</x:v>
      </x:c>
      <x:c r="B20" s="92" t="n">
        <x:f>B17*B19</x:f>
        <x:v>-0.0164772</x:v>
      </x:c>
      <x:c r="C20" s="92" t="n">
        <x:f>C17*C19</x:f>
        <x:v>0.22698899999999997</x:v>
      </x:c>
      <x:c r="D20" s="92" t="n">
        <x:f>D17*D19</x:f>
        <x:v>0.810271</x:v>
      </x:c>
      <x:c r="E20" s="92" t="n">
        <x:f>E17*E19</x:f>
        <x:v>1.0839743999999998</x:v>
      </x:c>
      <x:c r="F20" s="92" t="n">
        <x:f>F17*F19</x:f>
        <x:v>1.3498128</x:v>
      </x:c>
      <x:c r="G20" s="92" t="n">
        <x:f>G17*G19</x:f>
        <x:v>1.6468374</x:v>
      </x:c>
      <x:c r="H20" s="92" t="n">
        <x:f>H17*H19</x:f>
        <x:v>1.9404092400000001</x:v>
      </x:c>
      <x:c r="I20" s="92" t="n">
        <x:f>I17*I19</x:f>
        <x:v>2.2344714400000005</x:v>
      </x:c>
      <x:c r="J20" s="92" t="n">
        <x:f>J17*J19</x:f>
        <x:v>2.528682</x:v>
      </x:c>
      <x:c r="K20" s="92" t="n">
        <x:f>K17*K19</x:f>
        <x:v>2.8193820000000005</x:v>
      </x:c>
    </x:row>
    <x:row r="21">
      <x:c r="A21" t="str">
        <x:v>D&amp;A / revenue</x:v>
      </x:c>
      <x:c r="B21" s="92" t="n">
        <x:v>0.27</x:v>
      </x:c>
      <x:c r="C21" s="92" t="n">
        <x:v>0.23</x:v>
      </x:c>
      <x:c r="D21" s="92" t="n">
        <x:v>0.2</x:v>
      </x:c>
      <x:c r="E21" s="92" t="n">
        <x:v>0.18</x:v>
      </x:c>
      <x:c r="F21" s="92" t="n">
        <x:v>0.17</x:v>
      </x:c>
      <x:c r="G21" s="92" t="n">
        <x:v>0.16</x:v>
      </x:c>
      <x:c r="H21" s="92" t="n">
        <x:v>0.15</x:v>
      </x:c>
      <x:c r="I21" s="92" t="n">
        <x:v>0.15</x:v>
      </x:c>
      <x:c r="J21" s="92" t="n">
        <x:v>0.14</x:v>
      </x:c>
      <x:c r="K21" s="92" t="n">
        <x:v>0.14</x:v>
      </x:c>
    </x:row>
    <x:row r="22">
      <x:c r="A22" t="str">
        <x:v>D&amp;A</x:v>
      </x:c>
      <x:c r="B22" s="92" t="n">
        <x:f>B17*B21</x:f>
        <x:v>0.08897688000000001</x:v>
      </x:c>
      <x:c r="C22" s="92" t="n">
        <x:f>C17*C21</x:f>
        <x:v>0.17402489999999998</x:v>
      </x:c>
      <x:c r="D22" s="92" t="n">
        <x:f>D17*D21</x:f>
        <x:v>0.29464399999999996</x:v>
      </x:c>
      <x:c r="E22" s="92" t="n">
        <x:f>E17*E21</x:f>
        <x:v>0.3251923199999999</x:v>
      </x:c>
      <x:c r="F22" s="92" t="n">
        <x:f>F17*F21</x:f>
        <x:v>0.36423520000000004</x:v>
      </x:c>
      <x:c r="G22" s="92" t="n">
        <x:f>G17*G21</x:f>
        <x:v>0.40537535999999996</x:v>
      </x:c>
      <x:c r="H22" s="92" t="n">
        <x:f>H17*H21</x:f>
        <x:v>0.4410021</x:v>
      </x:c>
      <x:c r="I22" s="92" t="n">
        <x:f>I17*I21</x:f>
        <x:v>0.5002548</x:v>
      </x:c>
      <x:c r="J22" s="92" t="n">
        <x:f>J17*J21</x:f>
        <x:v>0.520611</x:v>
      </x:c>
      <x:c r="K22" s="92" t="n">
        <x:f>K17*K21</x:f>
        <x:v>0.5804610000000001</x:v>
      </x:c>
    </x:row>
    <x:row r="23">
      <x:c r="A23" t="str">
        <x:v>EBIT</x:v>
      </x:c>
      <x:c r="B23" s="92" t="n">
        <x:f>B20-B22</x:f>
        <x:v>-0.10545408</x:v>
      </x:c>
      <x:c r="C23" s="92" t="n">
        <x:f>C20-C22</x:f>
        <x:v>0.052964099999999986</x:v>
      </x:c>
      <x:c r="D23" s="92" t="n">
        <x:f>D20-D22</x:f>
        <x:v>0.5156270000000001</x:v>
      </x:c>
      <x:c r="E23" s="92" t="n">
        <x:f>E20-E22</x:f>
        <x:v>0.7587820799999998</x:v>
      </x:c>
      <x:c r="F23" s="92" t="n">
        <x:f>F20-F22</x:f>
        <x:v>0.9855776</x:v>
      </x:c>
      <x:c r="G23" s="92" t="n">
        <x:f>G20-G22</x:f>
        <x:v>1.24146204</x:v>
      </x:c>
      <x:c r="H23" s="92" t="n">
        <x:f>H20-H22</x:f>
        <x:v>1.4994071400000002</x:v>
      </x:c>
      <x:c r="I23" s="92" t="n">
        <x:f>I20-I22</x:f>
        <x:v>1.7342166400000005</x:v>
      </x:c>
      <x:c r="J23" s="92" t="n">
        <x:f>J20-J22</x:f>
        <x:v>2.0080709999999997</x:v>
      </x:c>
      <x:c r="K23" s="92" t="n">
        <x:f>K20-K22</x:f>
        <x:v>2.2389210000000004</x:v>
      </x:c>
    </x:row>
    <x:row r="24">
      <x:c r="A24" t="str">
        <x:v>Cash tax rate</x:v>
      </x:c>
      <x:c r="B24" s="112" t="n">
        <x:v>0.21</x:v>
      </x:c>
      <x:c r="C24" s="112" t="n">
        <x:v>0.21</x:v>
      </x:c>
      <x:c r="D24" s="112" t="n">
        <x:v>0.21</x:v>
      </x:c>
      <x:c r="E24" s="112" t="n">
        <x:v>0.21</x:v>
      </x:c>
      <x:c r="F24" s="112" t="n">
        <x:v>0.21</x:v>
      </x:c>
      <x:c r="G24" s="112" t="n">
        <x:v>0.21</x:v>
      </x:c>
      <x:c r="H24" s="112" t="n">
        <x:v>0.21</x:v>
      </x:c>
      <x:c r="I24" s="112" t="n">
        <x:v>0.21</x:v>
      </x:c>
      <x:c r="J24" s="112" t="n">
        <x:v>0.21</x:v>
      </x:c>
      <x:c r="K24" s="112" t="n">
        <x:v>0.21</x:v>
      </x:c>
    </x:row>
    <x:row r="25">
      <x:c r="A25" t="str">
        <x:v>Cash taxes</x:v>
      </x:c>
      <x:c r="B25" s="92" t="n">
        <x:f>IF(B23&gt;0,B23*B24,0)</x:f>
        <x:v>0</x:v>
      </x:c>
      <x:c r="C25" s="92" t="n">
        <x:f>IF(C23&gt;0,C23*C24,0)</x:f>
        <x:v>0.011122460999999997</x:v>
      </x:c>
      <x:c r="D25" s="92" t="n">
        <x:f>IF(D23&gt;0,D23*D24,0)</x:f>
        <x:v>0.10828167000000001</x:v>
      </x:c>
      <x:c r="E25" s="92" t="n">
        <x:f>IF(E23&gt;0,E23*E24,0)</x:f>
        <x:v>0.15934423679999996</x:v>
      </x:c>
      <x:c r="F25" s="92" t="n">
        <x:f>IF(F23&gt;0,F23*F24,0)</x:f>
        <x:v>0.206971296</x:v>
      </x:c>
      <x:c r="G25" s="92" t="n">
        <x:f>IF(G23&gt;0,G23*G24,0)</x:f>
        <x:v>0.2607070284</x:v>
      </x:c>
      <x:c r="H25" s="92" t="n">
        <x:f>IF(H23&gt;0,H23*H24,0)</x:f>
        <x:v>0.31487549940000004</x:v>
      </x:c>
      <x:c r="I25" s="92" t="n">
        <x:f>IF(I23&gt;0,I23*I24,0)</x:f>
        <x:v>0.3641854944000001</x:v>
      </x:c>
      <x:c r="J25" s="92" t="n">
        <x:f>IF(J23&gt;0,J23*J24,0)</x:f>
        <x:v>0.4216949099999999</x:v>
      </x:c>
      <x:c r="K25" s="92" t="n">
        <x:f>IF(K23&gt;0,K23*K24,0)</x:f>
        <x:v>0.47017341000000007</x:v>
      </x:c>
    </x:row>
    <x:row r="26">
      <x:c r="A26" t="str">
        <x:v>NOPAT</x:v>
      </x:c>
      <x:c r="B26" s="92" t="n">
        <x:f>B23-B25</x:f>
        <x:v>-0.10545408</x:v>
      </x:c>
      <x:c r="C26" s="92" t="n">
        <x:f>C23-C25</x:f>
        <x:v>0.041841638999999986</x:v>
      </x:c>
      <x:c r="D26" s="92" t="n">
        <x:f>D23-D25</x:f>
        <x:v>0.40734533000000006</x:v>
      </x:c>
      <x:c r="E26" s="92" t="n">
        <x:f>E23-E25</x:f>
        <x:v>0.5994378431999998</x:v>
      </x:c>
      <x:c r="F26" s="92" t="n">
        <x:f>F23-F25</x:f>
        <x:v>0.7786063040000001</x:v>
      </x:c>
      <x:c r="G26" s="92" t="n">
        <x:f>G23-G25</x:f>
        <x:v>0.9807550116000001</x:v>
      </x:c>
      <x:c r="H26" s="92" t="n">
        <x:f>H23-H25</x:f>
        <x:v>1.1845316406000002</x:v>
      </x:c>
      <x:c r="I26" s="92" t="n">
        <x:f>I23-I25</x:f>
        <x:v>1.3700311456000005</x:v>
      </x:c>
      <x:c r="J26" s="92" t="n">
        <x:f>J23-J25</x:f>
        <x:v>1.58637609</x:v>
      </x:c>
      <x:c r="K26" s="92" t="n">
        <x:f>K23-K25</x:f>
        <x:v>1.7687475900000003</x:v>
      </x:c>
    </x:row>
    <x:row r="27">
      <x:c r="A27" t="str">
        <x:v>Capex</x:v>
      </x:c>
      <x:c r="B27" s="92" t="n">
        <x:v>3.2</x:v>
      </x:c>
      <x:c r="C27" s="92" t="n">
        <x:v>4.2</x:v>
      </x:c>
      <x:c r="D27" s="92" t="n">
        <x:v>3.6</x:v>
      </x:c>
      <x:c r="E27" s="92" t="n">
        <x:v>3.1</x:v>
      </x:c>
      <x:c r="F27" s="92" t="n">
        <x:v>3</x:v>
      </x:c>
      <x:c r="G27" s="92" t="n">
        <x:v>2.7</x:v>
      </x:c>
      <x:c r="H27" s="92" t="n">
        <x:v>2.5</x:v>
      </x:c>
      <x:c r="I27" s="92" t="n">
        <x:v>2.3</x:v>
      </x:c>
      <x:c r="J27" s="92" t="n">
        <x:v>2.2</x:v>
      </x:c>
      <x:c r="K27" s="92" t="n">
        <x:v>2.1</x:v>
      </x:c>
    </x:row>
    <x:row r="28">
      <x:c r="A28" t="str">
        <x:v>FCFF</x:v>
      </x:c>
      <x:c r="B28" s="92" t="n">
        <x:f>B26+B22-B27</x:f>
        <x:v>-3.2164772000000004</x:v>
      </x:c>
      <x:c r="C28" s="92" t="n">
        <x:f>C26+C22-C27</x:f>
        <x:v>-3.9841334610000003</x:v>
      </x:c>
      <x:c r="D28" s="92" t="n">
        <x:f>D26+D22-D27</x:f>
        <x:v>-2.89801067</x:v>
      </x:c>
      <x:c r="E28" s="92" t="n">
        <x:f>E26+E22-E27</x:f>
        <x:v>-2.1753698368000003</x:v>
      </x:c>
      <x:c r="F28" s="92" t="n">
        <x:f>F26+F22-F27</x:f>
        <x:v>-1.8571584959999998</x:v>
      </x:c>
      <x:c r="G28" s="92" t="n">
        <x:f>G26+G22-G27</x:f>
        <x:v>-1.3138696284</x:v>
      </x:c>
      <x:c r="H28" s="92" t="n">
        <x:f>H26+H22-H27</x:f>
        <x:v>-0.8744662593999999</x:v>
      </x:c>
      <x:c r="I28" s="92" t="n">
        <x:f>I26+I22-I27</x:f>
        <x:v>-0.4297140543999993</x:v>
      </x:c>
      <x:c r="J28" s="92" t="n">
        <x:f>J26+J22-J27</x:f>
        <x:v>-0.09301291000000012</x:v>
      </x:c>
      <x:c r="K28" s="92" t="n">
        <x:f>K26+K22-K27</x:f>
        <x:v>0.24920859000000029</x:v>
      </x:c>
    </x:row>
    <x:row r="29">
      <x:c r="A29" t="str">
        <x:v>Connected / leased critical IT MW</x:v>
      </x:c>
      <x:c r="B29" s="114" t="n">
        <x:v>216</x:v>
      </x:c>
      <x:c r="C29" s="114" t="n">
        <x:v>520</x:v>
      </x:c>
      <x:c r="D29" s="114" t="n">
        <x:v>702</x:v>
      </x:c>
      <x:c r="E29" s="114" t="n">
        <x:v>862</x:v>
      </x:c>
      <x:c r="F29" s="114" t="n">
        <x:v>1062</x:v>
      </x:c>
      <x:c r="G29" s="114" t="n">
        <x:v>1302</x:v>
      </x:c>
      <x:c r="H29" s="114" t="n">
        <x:v>1542</x:v>
      </x:c>
      <x:c r="I29" s="114" t="n">
        <x:v>1782</x:v>
      </x:c>
      <x:c r="J29" s="114" t="n">
        <x:v>2022</x:v>
      </x:c>
      <x:c r="K29" s="114" t="n">
        <x:v>2262</x:v>
      </x:c>
    </x:row>
    <x:row r="30">
      <x:c r="A30" t="str">
        <x:v>Asset NOI proxy</x:v>
      </x:c>
      <x:c r="B30" s="92" t="n">
        <x:f>B17*0.72</x:f>
        <x:v>0.23727167999999998</x:v>
      </x:c>
      <x:c r="C30" s="92" t="n">
        <x:f>C17*0.72</x:f>
        <x:v>0.5447736</x:v>
      </x:c>
      <x:c r="D30" s="92" t="n">
        <x:f>D17*0.72</x:f>
        <x:v>1.0607183999999998</x:v>
      </x:c>
      <x:c r="E30" s="92" t="n">
        <x:f>E17*0.72</x:f>
        <x:v>1.3007692799999997</x:v>
      </x:c>
      <x:c r="F30" s="92" t="n">
        <x:f>F17*0.72</x:f>
        <x:v>1.5426431999999999</x:v>
      </x:c>
      <x:c r="G30" s="92" t="n">
        <x:f>G17*0.72</x:f>
        <x:v>1.8241891199999998</x:v>
      </x:c>
      <x:c r="H30" s="92" t="n">
        <x:f>H17*0.72</x:f>
        <x:v>2.11681008</x:v>
      </x:c>
      <x:c r="I30" s="92" t="n">
        <x:f>I17*0.72</x:f>
        <x:v>2.40122304</x:v>
      </x:c>
      <x:c r="J30" s="92" t="n">
        <x:f>J17*0.72</x:f>
        <x:v>2.677428</x:v>
      </x:c>
      <x:c r="K30" s="92" t="n">
        <x:f>K17*0.72</x:f>
        <x:v>2.985228</x:v>
      </x:c>
    </x:row>
    <x:row r="33">
      <x:c r="A33" s="41" t="str">
        <x:v>Base Scenario</x:v>
      </x:c>
      <x:c r="B33" s="41" t="str">
        <x:v>Base Scenario</x:v>
      </x:c>
      <x:c r="C33" s="41" t="str">
        <x:v>Base Scenario</x:v>
      </x:c>
      <x:c r="D33" s="41" t="str">
        <x:v>Base Scenario</x:v>
      </x:c>
      <x:c r="E33" s="41" t="str">
        <x:v>Base Scenario</x:v>
      </x:c>
      <x:c r="F33" s="41" t="str">
        <x:v>Base Scenario</x:v>
      </x:c>
      <x:c r="G33" s="41" t="str">
        <x:v>Base Scenario</x:v>
      </x:c>
      <x:c r="H33" s="41" t="str">
        <x:v>Base Scenario</x:v>
      </x:c>
      <x:c r="I33" s="41" t="str">
        <x:v>Base Scenario</x:v>
      </x:c>
      <x:c r="J33" s="41" t="str">
        <x:v>Base Scenario</x:v>
      </x:c>
      <x:c r="K33" s="41" t="str">
        <x:v>Base Scenario</x:v>
      </x:c>
    </x:row>
    <x:row r="34">
      <x:c r="A34" t="str">
        <x:v>Revenue</x:v>
      </x:c>
      <x:c r="B34" s="104" t="n">
        <x:f>B11*1</x:f>
        <x:v>0.3582</x:v>
      </x:c>
      <x:c r="C34" s="104" t="n">
        <x:f>C11*1</x:f>
        <x:v>0.8406999999999999</x:v>
      </x:c>
      <x:c r="D34" s="104" t="n">
        <x:f>D11*1</x:f>
        <x:v>1.7331999999999999</x:v>
      </x:c>
      <x:c r="E34" s="104" t="n">
        <x:f>E11*1</x:f>
        <x:v>2.2032</x:v>
      </x:c>
      <x:c r="F34" s="104" t="n">
        <x:f>F11*1</x:f>
        <x:v>2.6782</x:v>
      </x:c>
      <x:c r="G34" s="104" t="n">
        <x:f>G11*1</x:f>
        <x:v>3.2481999999999998</x:v>
      </x:c>
      <x:c r="H34" s="104" t="n">
        <x:f>H11*1</x:f>
        <x:v>3.8182</x:v>
      </x:c>
      <x:c r="I34" s="104" t="n">
        <x:f>I11*1</x:f>
        <x:v>4.3882</x:v>
      </x:c>
      <x:c r="J34" s="104" t="n">
        <x:f>J11*1</x:f>
        <x:v>4.9582</x:v>
      </x:c>
      <x:c r="K34" s="104" t="n">
        <x:f>K11*1</x:f>
        <x:v>5.5282</x:v>
      </x:c>
    </x:row>
    <x:row r="35">
      <x:c r="A35" t="str">
        <x:v>YoY growth</x:v>
      </x:c>
      <x:c r="B35" s="112"/>
      <x:c r="C35" s="112" t="n">
        <x:f>C34/B34-1</x:f>
        <x:v>1.3470128419877159</x:v>
      </x:c>
      <x:c r="D35" s="112" t="n">
        <x:f>D34/C34-1</x:f>
        <x:v>1.0616153205661951</x:v>
      </x:c>
      <x:c r="E35" s="112" t="n">
        <x:f>E34/D34-1</x:f>
        <x:v>0.27117470574659586</x:v>
      </x:c>
      <x:c r="F35" s="112" t="n">
        <x:f>F34/E34-1</x:f>
        <x:v>0.21559549745824258</x:v>
      </x:c>
      <x:c r="G35" s="112" t="n">
        <x:f>G34/F34-1</x:f>
        <x:v>0.21282951235904712</x:v>
      </x:c>
      <x:c r="H35" s="112" t="n">
        <x:f>H34/G34-1</x:f>
        <x:v>0.17548180530755508</x:v>
      </x:c>
      <x:c r="I35" s="112" t="n">
        <x:f>I34/H34-1</x:f>
        <x:v>0.1492850034047457</x:v>
      </x:c>
      <x:c r="J35" s="112" t="n">
        <x:f>J34/I34-1</x:f>
        <x:v>0.129893806116403</x:v>
      </x:c>
      <x:c r="K35" s="112" t="n">
        <x:f>K34/J34-1</x:f>
        <x:v>0.11496107458351834</x:v>
      </x:c>
    </x:row>
    <x:row r="36">
      <x:c r="A36" t="str">
        <x:v>Adjusted EBITDA margin</x:v>
      </x:c>
      <x:c r="B36" s="118" t="n">
        <x:v>0.1</x:v>
      </x:c>
      <x:c r="C36" s="118" t="n">
        <x:v>0.55</x:v>
      </x:c>
      <x:c r="D36" s="118" t="n">
        <x:v>0.72</x:v>
      </x:c>
      <x:c r="E36" s="118" t="n">
        <x:v>0.74</x:v>
      </x:c>
      <x:c r="F36" s="118" t="n">
        <x:v>0.76</x:v>
      </x:c>
      <x:c r="G36" s="118" t="n">
        <x:v>0.77</x:v>
      </x:c>
      <x:c r="H36" s="118" t="n">
        <x:v>0.78</x:v>
      </x:c>
      <x:c r="I36" s="118" t="n">
        <x:v>0.78</x:v>
      </x:c>
      <x:c r="J36" s="118" t="n">
        <x:v>0.78</x:v>
      </x:c>
      <x:c r="K36" s="118" t="n">
        <x:v>0.78</x:v>
      </x:c>
    </x:row>
    <x:row r="37">
      <x:c r="A37" t="str">
        <x:v>Adjusted EBITDA</x:v>
      </x:c>
      <x:c r="B37" s="92" t="n">
        <x:f>B34*B36</x:f>
        <x:v>0.035820000000000005</x:v>
      </x:c>
      <x:c r="C37" s="92" t="n">
        <x:f>C34*C36</x:f>
        <x:v>0.462385</x:v>
      </x:c>
      <x:c r="D37" s="92" t="n">
        <x:f>D34*D36</x:f>
        <x:v>1.247904</x:v>
      </x:c>
      <x:c r="E37" s="92" t="n">
        <x:f>E34*E36</x:f>
        <x:v>1.6303679999999998</x:v>
      </x:c>
      <x:c r="F37" s="92" t="n">
        <x:f>F34*F36</x:f>
        <x:v>2.035432</x:v>
      </x:c>
      <x:c r="G37" s="92" t="n">
        <x:f>G34*G36</x:f>
        <x:v>2.501114</x:v>
      </x:c>
      <x:c r="H37" s="92" t="n">
        <x:f>H34*H36</x:f>
        <x:v>2.978196</x:v>
      </x:c>
      <x:c r="I37" s="92" t="n">
        <x:f>I34*I36</x:f>
        <x:v>3.4227960000000004</x:v>
      </x:c>
      <x:c r="J37" s="92" t="n">
        <x:f>J34*J36</x:f>
        <x:v>3.867396</x:v>
      </x:c>
      <x:c r="K37" s="92" t="n">
        <x:f>K34*K36</x:f>
        <x:v>4.311996</x:v>
      </x:c>
    </x:row>
    <x:row r="38">
      <x:c r="A38" t="str">
        <x:v>D&amp;A / revenue</x:v>
      </x:c>
      <x:c r="B38" s="120" t="n">
        <x:v>0.25</x:v>
      </x:c>
      <x:c r="C38" s="120" t="n">
        <x:v>0.22</x:v>
      </x:c>
      <x:c r="D38" s="120" t="n">
        <x:v>0.2</x:v>
      </x:c>
      <x:c r="E38" s="120" t="n">
        <x:v>0.18</x:v>
      </x:c>
      <x:c r="F38" s="120" t="n">
        <x:v>0.17</x:v>
      </x:c>
      <x:c r="G38" s="120" t="n">
        <x:v>0.16</x:v>
      </x:c>
      <x:c r="H38" s="120" t="n">
        <x:v>0.15</x:v>
      </x:c>
      <x:c r="I38" s="120" t="n">
        <x:v>0.145</x:v>
      </x:c>
      <x:c r="J38" s="120" t="n">
        <x:v>0.14</x:v>
      </x:c>
      <x:c r="K38" s="120" t="n">
        <x:v>0.14</x:v>
      </x:c>
    </x:row>
    <x:row r="39">
      <x:c r="A39" t="str">
        <x:v>D&amp;A</x:v>
      </x:c>
      <x:c r="B39" s="92" t="n">
        <x:f>B34*B38</x:f>
        <x:v>0.08955</x:v>
      </x:c>
      <x:c r="C39" s="92" t="n">
        <x:f>C34*C38</x:f>
        <x:v>0.18495399999999998</x:v>
      </x:c>
      <x:c r="D39" s="92" t="n">
        <x:f>D34*D38</x:f>
        <x:v>0.34664</x:v>
      </x:c>
      <x:c r="E39" s="92" t="n">
        <x:f>E34*E38</x:f>
        <x:v>0.39657599999999993</x:v>
      </x:c>
      <x:c r="F39" s="92" t="n">
        <x:f>F34*F38</x:f>
        <x:v>0.45529400000000003</x:v>
      </x:c>
      <x:c r="G39" s="92" t="n">
        <x:f>G34*G38</x:f>
        <x:v>0.519712</x:v>
      </x:c>
      <x:c r="H39" s="92" t="n">
        <x:f>H34*H38</x:f>
        <x:v>0.57273</x:v>
      </x:c>
      <x:c r="I39" s="92" t="n">
        <x:f>I34*I38</x:f>
        <x:v>0.636289</x:v>
      </x:c>
      <x:c r="J39" s="92" t="n">
        <x:f>J34*J38</x:f>
        <x:v>0.694148</x:v>
      </x:c>
      <x:c r="K39" s="92" t="n">
        <x:f>K34*K38</x:f>
        <x:v>0.7739480000000001</x:v>
      </x:c>
    </x:row>
    <x:row r="40">
      <x:c r="A40" t="str">
        <x:v>EBIT</x:v>
      </x:c>
      <x:c r="B40" s="92" t="n">
        <x:f>B37-B39</x:f>
        <x:v>-0.05373</x:v>
      </x:c>
      <x:c r="C40" s="92" t="n">
        <x:f>C37-C39</x:f>
        <x:v>0.277431</x:v>
      </x:c>
      <x:c r="D40" s="92" t="n">
        <x:f>D37-D39</x:f>
        <x:v>0.9012639999999998</x:v>
      </x:c>
      <x:c r="E40" s="92" t="n">
        <x:f>E37-E39</x:f>
        <x:v>1.2337919999999998</x:v>
      </x:c>
      <x:c r="F40" s="92" t="n">
        <x:f>F37-F39</x:f>
        <x:v>1.580138</x:v>
      </x:c>
      <x:c r="G40" s="92" t="n">
        <x:f>G37-G39</x:f>
        <x:v>1.9814019999999999</x:v>
      </x:c>
      <x:c r="H40" s="92" t="n">
        <x:f>H37-H39</x:f>
        <x:v>2.405466</x:v>
      </x:c>
      <x:c r="I40" s="92" t="n">
        <x:f>I37-I39</x:f>
        <x:v>2.7865070000000003</x:v>
      </x:c>
      <x:c r="J40" s="92" t="n">
        <x:f>J37-J39</x:f>
        <x:v>3.173248</x:v>
      </x:c>
      <x:c r="K40" s="92" t="n">
        <x:f>K37-K39</x:f>
        <x:v>3.538048</x:v>
      </x:c>
    </x:row>
    <x:row r="41">
      <x:c r="A41" t="str">
        <x:v>Cash tax rate</x:v>
      </x:c>
      <x:c r="B41" s="112" t="n">
        <x:v>0.21</x:v>
      </x:c>
      <x:c r="C41" s="112" t="n">
        <x:v>0.21</x:v>
      </x:c>
      <x:c r="D41" s="112" t="n">
        <x:v>0.21</x:v>
      </x:c>
      <x:c r="E41" s="112" t="n">
        <x:v>0.21</x:v>
      </x:c>
      <x:c r="F41" s="112" t="n">
        <x:v>0.21</x:v>
      </x:c>
      <x:c r="G41" s="112" t="n">
        <x:v>0.21</x:v>
      </x:c>
      <x:c r="H41" s="112" t="n">
        <x:v>0.21</x:v>
      </x:c>
      <x:c r="I41" s="112" t="n">
        <x:v>0.21</x:v>
      </x:c>
      <x:c r="J41" s="112" t="n">
        <x:v>0.21</x:v>
      </x:c>
      <x:c r="K41" s="112" t="n">
        <x:v>0.21</x:v>
      </x:c>
    </x:row>
    <x:row r="42">
      <x:c r="A42" t="str">
        <x:v>Cash taxes</x:v>
      </x:c>
      <x:c r="B42" s="92" t="n">
        <x:f>IF(B40&gt;0,B40*B41,0)</x:f>
        <x:v>0</x:v>
      </x:c>
      <x:c r="C42" s="92" t="n">
        <x:f>IF(C40&gt;0,C40*C41,0)</x:f>
        <x:v>0.058260509999999995</x:v>
      </x:c>
      <x:c r="D42" s="92" t="n">
        <x:f>IF(D40&gt;0,D40*D41,0)</x:f>
        <x:v>0.18926543999999995</x:v>
      </x:c>
      <x:c r="E42" s="92" t="n">
        <x:f>IF(E40&gt;0,E40*E41,0)</x:f>
        <x:v>0.25909631999999994</x:v>
      </x:c>
      <x:c r="F42" s="92" t="n">
        <x:f>IF(F40&gt;0,F40*F41,0)</x:f>
        <x:v>0.33182898</x:v>
      </x:c>
      <x:c r="G42" s="92" t="n">
        <x:f>IF(G40&gt;0,G40*G41,0)</x:f>
        <x:v>0.41609441999999996</x:v>
      </x:c>
      <x:c r="H42" s="92" t="n">
        <x:f>IF(H40&gt;0,H40*H41,0)</x:f>
        <x:v>0.50514786</x:v>
      </x:c>
      <x:c r="I42" s="92" t="n">
        <x:f>IF(I40&gt;0,I40*I41,0)</x:f>
        <x:v>0.58516647</x:v>
      </x:c>
      <x:c r="J42" s="92" t="n">
        <x:f>IF(J40&gt;0,J40*J41,0)</x:f>
        <x:v>0.66638208</x:v>
      </x:c>
      <x:c r="K42" s="92" t="n">
        <x:f>IF(K40&gt;0,K40*K41,0)</x:f>
        <x:v>0.74299008</x:v>
      </x:c>
    </x:row>
    <x:row r="43">
      <x:c r="A43" t="str">
        <x:v>NOPAT</x:v>
      </x:c>
      <x:c r="B43" s="92" t="n">
        <x:f>B40-B42</x:f>
        <x:v>-0.05373</x:v>
      </x:c>
      <x:c r="C43" s="92" t="n">
        <x:f>C40-C42</x:f>
        <x:v>0.21917049</x:v>
      </x:c>
      <x:c r="D43" s="92" t="n">
        <x:f>D40-D42</x:f>
        <x:v>0.7119985599999998</x:v>
      </x:c>
      <x:c r="E43" s="92" t="n">
        <x:f>E40-E42</x:f>
        <x:v>0.9746956799999998</x:v>
      </x:c>
      <x:c r="F43" s="92" t="n">
        <x:f>F40-F42</x:f>
        <x:v>1.24830902</x:v>
      </x:c>
      <x:c r="G43" s="92" t="n">
        <x:f>G40-G42</x:f>
        <x:v>1.5653075799999998</x:v>
      </x:c>
      <x:c r="H43" s="92" t="n">
        <x:f>H40-H42</x:f>
        <x:v>1.90031814</x:v>
      </x:c>
      <x:c r="I43" s="92" t="n">
        <x:f>I40-I42</x:f>
        <x:v>2.2013405300000004</x:v>
      </x:c>
      <x:c r="J43" s="92" t="n">
        <x:f>J40-J42</x:f>
        <x:v>2.50686592</x:v>
      </x:c>
      <x:c r="K43" s="92" t="n">
        <x:f>K40-K42</x:f>
        <x:v>2.7950579199999996</x:v>
      </x:c>
    </x:row>
    <x:row r="44">
      <x:c r="A44" t="str">
        <x:v>Capex</x:v>
      </x:c>
      <x:c r="B44" s="120" t="n">
        <x:v>3</x:v>
      </x:c>
      <x:c r="C44" s="120" t="n">
        <x:v>3.8</x:v>
      </x:c>
      <x:c r="D44" s="120" t="n">
        <x:v>3.2</x:v>
      </x:c>
      <x:c r="E44" s="120" t="n">
        <x:v>2.8</x:v>
      </x:c>
      <x:c r="F44" s="120" t="n">
        <x:v>2.6</x:v>
      </x:c>
      <x:c r="G44" s="120" t="n">
        <x:v>2.3</x:v>
      </x:c>
      <x:c r="H44" s="120" t="n">
        <x:v>2</x:v>
      </x:c>
      <x:c r="I44" s="120" t="n">
        <x:v>1.7</x:v>
      </x:c>
      <x:c r="J44" s="120" t="n">
        <x:v>1.5</x:v>
      </x:c>
      <x:c r="K44" s="120" t="n">
        <x:v>1.3</x:v>
      </x:c>
    </x:row>
    <x:row r="45">
      <x:c r="A45" t="str">
        <x:v>FCFF</x:v>
      </x:c>
      <x:c r="B45" s="92" t="n">
        <x:f>B43+B39-B44</x:f>
        <x:v>-2.96418</x:v>
      </x:c>
      <x:c r="C45" s="92" t="n">
        <x:f>C43+C39-C44</x:f>
        <x:v>-3.3958755099999998</x:v>
      </x:c>
      <x:c r="D45" s="92" t="n">
        <x:f>D43+D39-D44</x:f>
        <x:v>-2.1413614400000003</x:v>
      </x:c>
      <x:c r="E45" s="92" t="n">
        <x:f>E43+E39-E44</x:f>
        <x:v>-1.42872832</x:v>
      </x:c>
      <x:c r="F45" s="92" t="n">
        <x:f>F43+F39-F44</x:f>
        <x:v>-0.89639698</x:v>
      </x:c>
      <x:c r="G45" s="92" t="n">
        <x:f>G43+G39-G44</x:f>
        <x:v>-0.21498041999999984</x:v>
      </x:c>
      <x:c r="H45" s="92" t="n">
        <x:f>H43+H39-H44</x:f>
        <x:v>0.47304813999999995</x:v>
      </x:c>
      <x:c r="I45" s="92" t="n">
        <x:f>I43+I39-I44</x:f>
        <x:v>1.1376295300000006</x:v>
      </x:c>
      <x:c r="J45" s="92" t="n">
        <x:f>J43+J39-J44</x:f>
        <x:v>1.7010139200000003</x:v>
      </x:c>
      <x:c r="K45" s="92" t="n">
        <x:f>K43+K39-K44</x:f>
        <x:v>2.2690059199999997</x:v>
      </x:c>
    </x:row>
    <x:row r="46">
      <x:c r="A46" t="str">
        <x:v>Connected / leased critical IT MW</x:v>
      </x:c>
      <x:c r="B46" s="114" t="n">
        <x:v>270</x:v>
      </x:c>
      <x:c r="C46" s="114" t="n">
        <x:v>650</x:v>
      </x:c>
      <x:c r="D46" s="114" t="n">
        <x:v>877</x:v>
      </x:c>
      <x:c r="E46" s="114" t="n">
        <x:v>1077</x:v>
      </x:c>
      <x:c r="F46" s="114" t="n">
        <x:v>1327</x:v>
      </x:c>
      <x:c r="G46" s="114" t="n">
        <x:v>1627</x:v>
      </x:c>
      <x:c r="H46" s="114" t="n">
        <x:v>1927</x:v>
      </x:c>
      <x:c r="I46" s="114" t="n">
        <x:v>2227</x:v>
      </x:c>
      <x:c r="J46" s="114" t="n">
        <x:v>2527</x:v>
      </x:c>
      <x:c r="K46" s="114" t="n">
        <x:v>2827</x:v>
      </x:c>
    </x:row>
    <x:row r="47">
      <x:c r="A47" t="str">
        <x:v>Asset NOI proxy</x:v>
      </x:c>
      <x:c r="B47" s="92" t="n">
        <x:f>B34*0.8</x:f>
        <x:v>0.28656000000000004</x:v>
      </x:c>
      <x:c r="C47" s="92" t="n">
        <x:f>C34*0.8</x:f>
        <x:v>0.6725599999999999</x:v>
      </x:c>
      <x:c r="D47" s="92" t="n">
        <x:f>D34*0.8</x:f>
        <x:v>1.38656</x:v>
      </x:c>
      <x:c r="E47" s="92" t="n">
        <x:f>E34*0.8</x:f>
        <x:v>1.76256</x:v>
      </x:c>
      <x:c r="F47" s="92" t="n">
        <x:f>F34*0.8</x:f>
        <x:v>2.14256</x:v>
      </x:c>
      <x:c r="G47" s="92" t="n">
        <x:f>G34*0.8</x:f>
        <x:v>2.59856</x:v>
      </x:c>
      <x:c r="H47" s="92" t="n">
        <x:f>H34*0.8</x:f>
        <x:v>3.0545600000000004</x:v>
      </x:c>
      <x:c r="I47" s="92" t="n">
        <x:f>I34*0.8</x:f>
        <x:v>3.5105600000000003</x:v>
      </x:c>
      <x:c r="J47" s="92" t="n">
        <x:f>J34*0.8</x:f>
        <x:v>3.96656</x:v>
      </x:c>
      <x:c r="K47" s="92" t="n">
        <x:f>K34*0.8</x:f>
        <x:v>4.42256</x:v>
      </x:c>
    </x:row>
    <x:row r="50">
      <x:c r="A50" s="41" t="str">
        <x:v>Bull Scenario</x:v>
      </x:c>
      <x:c r="B50" s="41" t="str">
        <x:v>Bull Scenario</x:v>
      </x:c>
      <x:c r="C50" s="41" t="str">
        <x:v>Bull Scenario</x:v>
      </x:c>
      <x:c r="D50" s="41" t="str">
        <x:v>Bull Scenario</x:v>
      </x:c>
      <x:c r="E50" s="41" t="str">
        <x:v>Bull Scenario</x:v>
      </x:c>
      <x:c r="F50" s="41" t="str">
        <x:v>Bull Scenario</x:v>
      </x:c>
      <x:c r="G50" s="41" t="str">
        <x:v>Bull Scenario</x:v>
      </x:c>
      <x:c r="H50" s="41" t="str">
        <x:v>Bull Scenario</x:v>
      </x:c>
      <x:c r="I50" s="41" t="str">
        <x:v>Bull Scenario</x:v>
      </x:c>
      <x:c r="J50" s="41" t="str">
        <x:v>Bull Scenario</x:v>
      </x:c>
      <x:c r="K50" s="41" t="str">
        <x:v>Bull Scenario</x:v>
      </x:c>
    </x:row>
    <x:row r="51">
      <x:c r="A51" t="str">
        <x:v>Revenue</x:v>
      </x:c>
      <x:c r="B51" s="104" t="n">
        <x:f>B11*1.05</x:f>
        <x:v>0.37611000000000006</x:v>
      </x:c>
      <x:c r="C51" s="104" t="n">
        <x:f>C11*1.08</x:f>
        <x:v>0.907956</x:v>
      </x:c>
      <x:c r="D51" s="104" t="n">
        <x:f>D11*1.15</x:f>
        <x:v>1.9931799999999997</x:v>
      </x:c>
      <x:c r="E51" s="104" t="n">
        <x:f>E11*1.22</x:f>
        <x:v>2.6879039999999996</x:v>
      </x:c>
      <x:c r="F51" s="104" t="n">
        <x:f>F11*1.3</x:f>
        <x:v>3.48166</x:v>
      </x:c>
      <x:c r="G51" s="104" t="n">
        <x:f>G11*1.37</x:f>
        <x:v>4.450034</x:v>
      </x:c>
      <x:c r="H51" s="104" t="n">
        <x:f>H11*1.43</x:f>
        <x:v>5.460026</x:v>
      </x:c>
      <x:c r="I51" s="104" t="n">
        <x:f>I11*1.48</x:f>
        <x:v>6.494536</x:v>
      </x:c>
      <x:c r="J51" s="104" t="n">
        <x:f>J11*1.53</x:f>
        <x:v>7.586046</x:v>
      </x:c>
      <x:c r="K51" s="104" t="n">
        <x:f>K11*1.58</x:f>
        <x:v>8.734556</x:v>
      </x:c>
    </x:row>
    <x:row r="52">
      <x:c r="A52" t="str">
        <x:v>YoY growth</x:v>
      </x:c>
      <x:c r="B52" s="112"/>
      <x:c r="C52" s="112" t="n">
        <x:f>C51/B51-1</x:f>
        <x:v>1.4140703517587934</x:v>
      </x:c>
      <x:c r="D52" s="112" t="n">
        <x:f>D51/C51-1</x:f>
        <x:v>1.1952385357880777</x:v>
      </x:c>
      <x:c r="E52" s="112" t="n">
        <x:f>E51/D51-1</x:f>
        <x:v>0.3485505574007366</x:v>
      </x:c>
      <x:c r="F52" s="112" t="n">
        <x:f>F51/E51-1</x:f>
        <x:v>0.2953066776194391</x:v>
      </x:c>
      <x:c r="G52" s="112" t="n">
        <x:f>G51/F51-1</x:f>
        <x:v>0.27813571687068794</x:v>
      </x:c>
      <x:c r="H52" s="112" t="n">
        <x:f>H51/G51-1</x:f>
        <x:v>0.22696276028452833</x:v>
      </x:c>
      <x:c r="I52" s="112" t="n">
        <x:f>I51/H51-1</x:f>
        <x:v>0.18946979373358297</x:v>
      </x:c>
      <x:c r="J52" s="112" t="n">
        <x:f>J51/I51-1</x:f>
        <x:v>0.16806589416087614</x:v>
      </x:c>
      <x:c r="K52" s="112" t="n">
        <x:f>K51/J51-1</x:f>
        <x:v>0.15139771100781618</x:v>
      </x:c>
    </x:row>
    <x:row r="53">
      <x:c r="A53" t="str">
        <x:v>Adjusted EBITDA margin</x:v>
      </x:c>
      <x:c r="B53" s="112" t="n">
        <x:v>0.15</x:v>
      </x:c>
      <x:c r="C53" s="112" t="n">
        <x:v>0.6</x:v>
      </x:c>
      <x:c r="D53" s="112" t="n">
        <x:v>0.76</x:v>
      </x:c>
      <x:c r="E53" s="112" t="n">
        <x:v>0.78</x:v>
      </x:c>
      <x:c r="F53" s="112" t="n">
        <x:v>0.8</x:v>
      </x:c>
      <x:c r="G53" s="112" t="n">
        <x:v>0.81</x:v>
      </x:c>
      <x:c r="H53" s="112" t="n">
        <x:v>0.82</x:v>
      </x:c>
      <x:c r="I53" s="112" t="n">
        <x:v>0.82</x:v>
      </x:c>
      <x:c r="J53" s="112" t="n">
        <x:v>0.82</x:v>
      </x:c>
      <x:c r="K53" s="112" t="n">
        <x:v>0.82</x:v>
      </x:c>
    </x:row>
    <x:row r="54">
      <x:c r="A54" t="str">
        <x:v>Adjusted EBITDA</x:v>
      </x:c>
      <x:c r="B54" s="92" t="n">
        <x:f>B51*B53</x:f>
        <x:v>0.05641650000000001</x:v>
      </x:c>
      <x:c r="C54" s="92" t="n">
        <x:f>C51*C53</x:f>
        <x:v>0.5447736</x:v>
      </x:c>
      <x:c r="D54" s="92" t="n">
        <x:f>D51*D53</x:f>
        <x:v>1.5148167999999997</x:v>
      </x:c>
      <x:c r="E54" s="92" t="n">
        <x:f>E51*E53</x:f>
        <x:v>2.0965651199999997</x:v>
      </x:c>
      <x:c r="F54" s="92" t="n">
        <x:f>F51*F53</x:f>
        <x:v>2.7853280000000002</x:v>
      </x:c>
      <x:c r="G54" s="92" t="n">
        <x:f>G51*G53</x:f>
        <x:v>3.60452754</x:v>
      </x:c>
      <x:c r="H54" s="92" t="n">
        <x:f>H51*H53</x:f>
        <x:v>4.47722132</x:v>
      </x:c>
      <x:c r="I54" s="92" t="n">
        <x:f>I51*I53</x:f>
        <x:v>5.325519519999999</x:v>
      </x:c>
      <x:c r="J54" s="92" t="n">
        <x:f>J51*J53</x:f>
        <x:v>6.2205577199999995</x:v>
      </x:c>
      <x:c r="K54" s="92" t="n">
        <x:f>K51*K53</x:f>
        <x:v>7.162335919999999</x:v>
      </x:c>
    </x:row>
    <x:row r="55">
      <x:c r="A55" t="str">
        <x:v>D&amp;A / revenue</x:v>
      </x:c>
      <x:c r="B55" s="92" t="n">
        <x:v>0.24</x:v>
      </x:c>
      <x:c r="C55" s="92" t="n">
        <x:v>0.21</x:v>
      </x:c>
      <x:c r="D55" s="92" t="n">
        <x:v>0.19</x:v>
      </x:c>
      <x:c r="E55" s="92" t="n">
        <x:v>0.17</x:v>
      </x:c>
      <x:c r="F55" s="92" t="n">
        <x:v>0.16</x:v>
      </x:c>
      <x:c r="G55" s="92" t="n">
        <x:v>0.15</x:v>
      </x:c>
      <x:c r="H55" s="92" t="n">
        <x:v>0.14</x:v>
      </x:c>
      <x:c r="I55" s="92" t="n">
        <x:v>0.135</x:v>
      </x:c>
      <x:c r="J55" s="92" t="n">
        <x:v>0.13</x:v>
      </x:c>
      <x:c r="K55" s="92" t="n">
        <x:v>0.13</x:v>
      </x:c>
    </x:row>
    <x:row r="56">
      <x:c r="A56" t="str">
        <x:v>D&amp;A</x:v>
      </x:c>
      <x:c r="B56" s="92" t="n">
        <x:f>B51*B55</x:f>
        <x:v>0.09026640000000001</x:v>
      </x:c>
      <x:c r="C56" s="92" t="n">
        <x:f>C51*C55</x:f>
        <x:v>0.19067076</x:v>
      </x:c>
      <x:c r="D56" s="92" t="n">
        <x:f>D51*D55</x:f>
        <x:v>0.37870419999999994</x:v>
      </x:c>
      <x:c r="E56" s="92" t="n">
        <x:f>E51*E55</x:f>
        <x:v>0.45694367999999996</x:v>
      </x:c>
      <x:c r="F56" s="92" t="n">
        <x:f>F51*F55</x:f>
        <x:v>0.5570656</x:v>
      </x:c>
      <x:c r="G56" s="92" t="n">
        <x:f>G51*G55</x:f>
        <x:v>0.6675051</x:v>
      </x:c>
      <x:c r="H56" s="92" t="n">
        <x:f>H51*H55</x:f>
        <x:v>0.76440364</x:v>
      </x:c>
      <x:c r="I56" s="92" t="n">
        <x:f>I51*I55</x:f>
        <x:v>0.8767623600000001</x:v>
      </x:c>
      <x:c r="J56" s="92" t="n">
        <x:f>J51*J55</x:f>
        <x:v>0.98618598</x:v>
      </x:c>
      <x:c r="K56" s="92" t="n">
        <x:f>K51*K55</x:f>
        <x:v>1.13549228</x:v>
      </x:c>
    </x:row>
    <x:row r="57">
      <x:c r="A57" t="str">
        <x:v>EBIT</x:v>
      </x:c>
      <x:c r="B57" s="92" t="n">
        <x:f>B54-B56</x:f>
        <x:v>-0.0338499</x:v>
      </x:c>
      <x:c r="C57" s="92" t="n">
        <x:f>C54-C56</x:f>
        <x:v>0.35410284</x:v>
      </x:c>
      <x:c r="D57" s="92" t="n">
        <x:f>D54-D56</x:f>
        <x:v>1.1361125999999997</x:v>
      </x:c>
      <x:c r="E57" s="92" t="n">
        <x:f>E54-E56</x:f>
        <x:v>1.6396214399999998</x:v>
      </x:c>
      <x:c r="F57" s="92" t="n">
        <x:f>F54-F56</x:f>
        <x:v>2.2282624</x:v>
      </x:c>
      <x:c r="G57" s="92" t="n">
        <x:f>G54-G56</x:f>
        <x:v>2.93702244</x:v>
      </x:c>
      <x:c r="H57" s="92" t="n">
        <x:f>H54-H56</x:f>
        <x:v>3.7128176799999997</x:v>
      </x:c>
      <x:c r="I57" s="92" t="n">
        <x:f>I54-I56</x:f>
        <x:v>4.4487571599999995</x:v>
      </x:c>
      <x:c r="J57" s="92" t="n">
        <x:f>J54-J56</x:f>
        <x:v>5.234371739999999</x:v>
      </x:c>
      <x:c r="K57" s="92" t="n">
        <x:f>K54-K56</x:f>
        <x:v>6.026843639999999</x:v>
      </x:c>
    </x:row>
    <x:row r="58">
      <x:c r="A58" t="str">
        <x:v>Cash tax rate</x:v>
      </x:c>
      <x:c r="B58" s="112" t="n">
        <x:v>0.21</x:v>
      </x:c>
      <x:c r="C58" s="112" t="n">
        <x:v>0.21</x:v>
      </x:c>
      <x:c r="D58" s="112" t="n">
        <x:v>0.21</x:v>
      </x:c>
      <x:c r="E58" s="112" t="n">
        <x:v>0.21</x:v>
      </x:c>
      <x:c r="F58" s="112" t="n">
        <x:v>0.21</x:v>
      </x:c>
      <x:c r="G58" s="112" t="n">
        <x:v>0.21</x:v>
      </x:c>
      <x:c r="H58" s="112" t="n">
        <x:v>0.21</x:v>
      </x:c>
      <x:c r="I58" s="112" t="n">
        <x:v>0.21</x:v>
      </x:c>
      <x:c r="J58" s="112" t="n">
        <x:v>0.21</x:v>
      </x:c>
      <x:c r="K58" s="112" t="n">
        <x:v>0.21</x:v>
      </x:c>
    </x:row>
    <x:row r="59">
      <x:c r="A59" t="str">
        <x:v>Cash taxes</x:v>
      </x:c>
      <x:c r="B59" s="92" t="n">
        <x:f>IF(B57&gt;0,B57*B58,0)</x:f>
        <x:v>0</x:v>
      </x:c>
      <x:c r="C59" s="92" t="n">
        <x:f>IF(C57&gt;0,C57*C58,0)</x:f>
        <x:v>0.0743615964</x:v>
      </x:c>
      <x:c r="D59" s="92" t="n">
        <x:f>IF(D57&gt;0,D57*D58,0)</x:f>
        <x:v>0.23858364599999993</x:v>
      </x:c>
      <x:c r="E59" s="92" t="n">
        <x:f>IF(E57&gt;0,E57*E58,0)</x:f>
        <x:v>0.34432050239999995</x:v>
      </x:c>
      <x:c r="F59" s="92" t="n">
        <x:f>IF(F57&gt;0,F57*F58,0)</x:f>
        <x:v>0.46793510400000005</x:v>
      </x:c>
      <x:c r="G59" s="92" t="n">
        <x:f>IF(G57&gt;0,G57*G58,0)</x:f>
        <x:v>0.6167747123999999</x:v>
      </x:c>
      <x:c r="H59" s="92" t="n">
        <x:f>IF(H57&gt;0,H57*H58,0)</x:f>
        <x:v>0.7796917127999999</x:v>
      </x:c>
      <x:c r="I59" s="92" t="n">
        <x:f>IF(I57&gt;0,I57*I58,0)</x:f>
        <x:v>0.9342390035999999</x:v>
      </x:c>
      <x:c r="J59" s="92" t="n">
        <x:f>IF(J57&gt;0,J57*J58,0)</x:f>
        <x:v>1.0992180653999999</x:v>
      </x:c>
      <x:c r="K59" s="92" t="n">
        <x:f>IF(K57&gt;0,K57*K58,0)</x:f>
        <x:v>1.2656371643999997</x:v>
      </x:c>
    </x:row>
    <x:row r="60">
      <x:c r="A60" t="str">
        <x:v>NOPAT</x:v>
      </x:c>
      <x:c r="B60" s="92" t="n">
        <x:f>B57-B59</x:f>
        <x:v>-0.0338499</x:v>
      </x:c>
      <x:c r="C60" s="92" t="n">
        <x:f>C57-C59</x:f>
        <x:v>0.27974124359999997</x:v>
      </x:c>
      <x:c r="D60" s="92" t="n">
        <x:f>D57-D59</x:f>
        <x:v>0.8975289539999998</x:v>
      </x:c>
      <x:c r="E60" s="92" t="n">
        <x:f>E57-E59</x:f>
        <x:v>1.2953009375999998</x:v>
      </x:c>
      <x:c r="F60" s="92" t="n">
        <x:f>F57-F59</x:f>
        <x:v>1.7603272960000003</x:v>
      </x:c>
      <x:c r="G60" s="92" t="n">
        <x:f>G57-G59</x:f>
        <x:v>2.3202477276</x:v>
      </x:c>
      <x:c r="H60" s="92" t="n">
        <x:f>H57-H59</x:f>
        <x:v>2.9331259671999996</x:v>
      </x:c>
      <x:c r="I60" s="92" t="n">
        <x:f>I57-I59</x:f>
        <x:v>3.5145181563999994</x:v>
      </x:c>
      <x:c r="J60" s="92" t="n">
        <x:f>J57-J59</x:f>
        <x:v>4.1351536746</x:v>
      </x:c>
      <x:c r="K60" s="92" t="n">
        <x:f>K57-K59</x:f>
        <x:v>4.7612064756</x:v>
      </x:c>
    </x:row>
    <x:row r="61">
      <x:c r="A61" t="str">
        <x:v>Capex</x:v>
      </x:c>
      <x:c r="B61" s="92" t="n">
        <x:v>3</x:v>
      </x:c>
      <x:c r="C61" s="92" t="n">
        <x:v>4</x:v>
      </x:c>
      <x:c r="D61" s="92" t="n">
        <x:v>3.5</x:v>
      </x:c>
      <x:c r="E61" s="92" t="n">
        <x:v>3</x:v>
      </x:c>
      <x:c r="F61" s="92" t="n">
        <x:v>2.8</x:v>
      </x:c>
      <x:c r="G61" s="92" t="n">
        <x:v>2.5</x:v>
      </x:c>
      <x:c r="H61" s="92" t="n">
        <x:v>2.2</x:v>
      </x:c>
      <x:c r="I61" s="92" t="n">
        <x:v>1.9</x:v>
      </x:c>
      <x:c r="J61" s="92" t="n">
        <x:v>1.7</x:v>
      </x:c>
      <x:c r="K61" s="92" t="n">
        <x:v>1.5</x:v>
      </x:c>
    </x:row>
    <x:row r="62">
      <x:c r="A62" t="str">
        <x:v>FCFF</x:v>
      </x:c>
      <x:c r="B62" s="92" t="n">
        <x:f>B60+B56-B61</x:f>
        <x:v>-2.9435835</x:v>
      </x:c>
      <x:c r="C62" s="92" t="n">
        <x:f>C60+C56-C61</x:f>
        <x:v>-3.5295879964</x:v>
      </x:c>
      <x:c r="D62" s="92" t="n">
        <x:f>D60+D56-D61</x:f>
        <x:v>-2.223766846</x:v>
      </x:c>
      <x:c r="E62" s="92" t="n">
        <x:f>E60+E56-E61</x:f>
        <x:v>-1.2477553824000003</x:v>
      </x:c>
      <x:c r="F62" s="92" t="n">
        <x:f>F60+F56-F61</x:f>
        <x:v>-0.4826071039999995</x:v>
      </x:c>
      <x:c r="G62" s="92" t="n">
        <x:f>G60+G56-G61</x:f>
        <x:v>0.48775282760000005</x:v>
      </x:c>
      <x:c r="H62" s="92" t="n">
        <x:f>H60+H56-H61</x:f>
        <x:v>1.4975296071999997</x:v>
      </x:c>
      <x:c r="I62" s="92" t="n">
        <x:f>I60+I56-I61</x:f>
        <x:v>2.4912805163999994</x:v>
      </x:c>
      <x:c r="J62" s="92" t="n">
        <x:f>J60+J56-J61</x:f>
        <x:v>3.4213396545999997</x:v>
      </x:c>
      <x:c r="K62" s="92" t="n">
        <x:f>K60+K56-K61</x:f>
        <x:v>4.3966987556</x:v>
      </x:c>
    </x:row>
    <x:row r="63">
      <x:c r="A63" t="str">
        <x:v>Connected / leased critical IT MW</x:v>
      </x:c>
      <x:c r="B63" s="114" t="n">
        <x:v>338</x:v>
      </x:c>
      <x:c r="C63" s="114" t="n">
        <x:v>812</x:v>
      </x:c>
      <x:c r="D63" s="114" t="n">
        <x:v>1096</x:v>
      </x:c>
      <x:c r="E63" s="114" t="n">
        <x:v>1346</x:v>
      </x:c>
      <x:c r="F63" s="114" t="n">
        <x:v>1659</x:v>
      </x:c>
      <x:c r="G63" s="114" t="n">
        <x:v>2034</x:v>
      </x:c>
      <x:c r="H63" s="114" t="n">
        <x:v>2409</x:v>
      </x:c>
      <x:c r="I63" s="114" t="n">
        <x:v>2784</x:v>
      </x:c>
      <x:c r="J63" s="114" t="n">
        <x:v>3159</x:v>
      </x:c>
      <x:c r="K63" s="114" t="n">
        <x:v>3534</x:v>
      </x:c>
    </x:row>
    <x:row r="64">
      <x:c r="A64" t="str">
        <x:v>Asset NOI proxy</x:v>
      </x:c>
      <x:c r="B64" s="92" t="n">
        <x:f>B51*0.84</x:f>
        <x:v>0.31593240000000006</x:v>
      </x:c>
      <x:c r="C64" s="92" t="n">
        <x:f>C51*0.84</x:f>
        <x:v>0.76268304</x:v>
      </x:c>
      <x:c r="D64" s="92" t="n">
        <x:f>D51*0.84</x:f>
        <x:v>1.6742711999999997</x:v>
      </x:c>
      <x:c r="E64" s="92" t="n">
        <x:f>E51*0.84</x:f>
        <x:v>2.2578393599999997</x:v>
      </x:c>
      <x:c r="F64" s="92" t="n">
        <x:f>F51*0.84</x:f>
        <x:v>2.9245944</x:v>
      </x:c>
      <x:c r="G64" s="92" t="n">
        <x:f>G51*0.84</x:f>
        <x:v>3.7380285599999996</x:v>
      </x:c>
      <x:c r="H64" s="92" t="n">
        <x:f>H51*0.84</x:f>
        <x:v>4.58642184</x:v>
      </x:c>
      <x:c r="I64" s="92" t="n">
        <x:f>I51*0.84</x:f>
        <x:v>5.45541024</x:v>
      </x:c>
      <x:c r="J64" s="92" t="n">
        <x:f>J51*0.84</x:f>
        <x:v>6.372278639999999</x:v>
      </x:c>
      <x:c r="K64" s="92" t="n">
        <x:f>K51*0.84</x:f>
        <x:v>7.33702704</x:v>
      </x:c>
    </x:row>
  </x:sheetData>
  <x:mergeCells>
    <x:mergeCell ref="A1:K1"/>
    <x:mergeCell ref="A2:K2"/>
    <x:mergeCell ref="A5:K5"/>
    <x:mergeCell ref="A15:K15"/>
    <x:mergeCell ref="A16:K16"/>
    <x:mergeCell ref="A33:K33"/>
    <x:mergeCell ref="A50:K5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4" t="str">
        <x:v>Contracted-Asset SOTP</x:v>
      </x:c>
      <x:c r="B1" s="4"/>
      <x:c r="C1" s="4"/>
      <x:c r="D1" s="4"/>
      <x:c r="E1" s="4"/>
    </x:row>
    <x:row r="2" ht="28" customHeight="1">
      <x:c r="A2" s="10" t="str">
        <x:v>Primary valuation method. Stabilized NOI is valued at an explicit multiple, pipeline is probability-weighted, and projected net debt includes remaining contracted-build funding.</x:v>
      </x:c>
      <x:c r="B2" s="10"/>
      <x:c r="C2" s="10"/>
      <x:c r="D2" s="10"/>
      <x:c r="E2" s="10"/>
    </x:row>
    <x:row r="4">
      <x:c r="A4" s="19" t="str">
        <x:v>Metric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Lake Mariner stabilized NOI ($bn)</x:v>
      </x:c>
      <x:c r="B5" s="110" t="n">
        <x:v>0.62</x:v>
      </x:c>
      <x:c r="C5" s="110" t="n">
        <x:v>0.662</x:v>
      </x:c>
      <x:c r="D5" s="110" t="n">
        <x:v>0.662</x:v>
      </x:c>
    </x:row>
    <x:row r="6">
      <x:c r="A6" t="str">
        <x:v>Anthropic annual revenue ($bn)</x:v>
      </x:c>
      <x:c r="B6" s="110" t="n">
        <x:v>0.95</x:v>
      </x:c>
      <x:c r="C6" s="110" t="n">
        <x:v>0.95</x:v>
      </x:c>
      <x:c r="D6" s="110" t="n">
        <x:v>0.95</x:v>
      </x:c>
    </x:row>
    <x:row r="7">
      <x:c r="A7" t="str">
        <x:v>Anthropic NOI margin</x:v>
      </x:c>
      <x:c r="B7" s="85" t="n">
        <x:v>0.74</x:v>
      </x:c>
      <x:c r="C7" s="85" t="n">
        <x:v>0.8</x:v>
      </x:c>
      <x:c r="D7" s="85" t="n">
        <x:v>0.85</x:v>
      </x:c>
    </x:row>
    <x:row r="8">
      <x:c r="A8" t="str">
        <x:v>Anthropic stabilized NOI ($bn)</x:v>
      </x:c>
      <x:c r="B8" s="92" t="n">
        <x:f>B6*B7</x:f>
        <x:v>0.703</x:v>
      </x:c>
      <x:c r="C8" s="92" t="n">
        <x:f>C6*C7</x:f>
        <x:v>0.76</x:v>
      </x:c>
      <x:c r="D8" s="92" t="n">
        <x:f>D6*D7</x:f>
        <x:v>0.8075</x:v>
      </x:c>
    </x:row>
    <x:row r="9">
      <x:c r="A9" t="str">
        <x:v>Total contracted stabilized NOI ($bn)</x:v>
      </x:c>
      <x:c r="B9" s="92" t="n">
        <x:f>B5+B8</x:f>
        <x:v>1.323</x:v>
      </x:c>
      <x:c r="C9" s="92" t="n">
        <x:f>C5+C8</x:f>
        <x:v>1.4220000000000002</x:v>
      </x:c>
      <x:c r="D9" s="92" t="n">
        <x:f>D5+D8</x:f>
        <x:v>1.4695</x:v>
      </x:c>
    </x:row>
    <x:row r="10">
      <x:c r="A10" t="str">
        <x:v>Contracted NOI multiple</x:v>
      </x:c>
      <x:c r="B10" s="122" t="n">
        <x:v>10</x:v>
      </x:c>
      <x:c r="C10" s="122" t="n">
        <x:v>14</x:v>
      </x:c>
      <x:c r="D10" s="122" t="n">
        <x:v>18</x:v>
      </x:c>
    </x:row>
    <x:row r="11">
      <x:c r="A11" t="str">
        <x:v>Contracted asset EV ($bn)</x:v>
      </x:c>
      <x:c r="B11" s="92" t="n">
        <x:f>B9*B10</x:f>
        <x:v>13.23</x:v>
      </x:c>
      <x:c r="C11" s="92" t="n">
        <x:f>C9*C10</x:f>
        <x:v>19.908</x:v>
      </x:c>
      <x:c r="D11" s="92" t="n">
        <x:f>D9*D10</x:f>
        <x:v>26.451</x:v>
      </x:c>
    </x:row>
    <x:row r="12">
      <x:c r="A12" t="str">
        <x:v>Pipeline option PV ($bn)</x:v>
      </x:c>
      <x:c r="B12" s="104" t="n">
        <x:f>Contracts!B30</x:f>
        <x:v>0.8259162079245097</x:v>
      </x:c>
      <x:c r="C12" s="104" t="n">
        <x:f>Contracts!C30</x:f>
        <x:v>4.212495123745509</x:v>
      </x:c>
      <x:c r="D12" s="104" t="n">
        <x:f>Contracts!D30</x:f>
        <x:v>16.09472641556108</x:v>
      </x:c>
    </x:row>
    <x:row r="13">
      <x:c r="A13" t="str">
        <x:v>Projected stabilized net debt ($bn)</x:v>
      </x:c>
      <x:c r="B13" s="104" t="n">
        <x:f>CapitalStructure!B20</x:f>
        <x:v>7.454504</x:v>
      </x:c>
      <x:c r="C13" s="104" t="n">
        <x:f>CapitalStructure!C20</x:f>
        <x:v>5.654504</x:v>
      </x:c>
      <x:c r="D13" s="104" t="n">
        <x:f>CapitalStructure!D20</x:f>
        <x:v>4.654504</x:v>
      </x:c>
    </x:row>
    <x:row r="14">
      <x:c r="A14" t="str">
        <x:v>Equity value ($bn)</x:v>
      </x:c>
      <x:c r="B14" s="104" t="n">
        <x:f>B11+B12-B13</x:f>
        <x:v>6.6014122079245094</x:v>
      </x:c>
      <x:c r="C14" s="104" t="n">
        <x:f>C11+C12-C13</x:f>
        <x:v>18.46599112374551</x:v>
      </x:c>
      <x:c r="D14" s="104" t="n">
        <x:f>D11+D12-D13</x:f>
        <x:v>37.891222415561074</x:v>
      </x:c>
    </x:row>
    <x:row r="15">
      <x:c r="A15" t="str">
        <x:v>Valuation share count (mm)</x:v>
      </x:c>
      <x:c r="B15" s="124" t="n">
        <x:f>CapitalStructure!B21</x:f>
        <x:v>650</x:v>
      </x:c>
      <x:c r="C15" s="124" t="n">
        <x:f>CapitalStructure!C21</x:f>
        <x:v>627.275</x:v>
      </x:c>
      <x:c r="D15" s="124" t="n">
        <x:f>CapitalStructure!D21</x:f>
        <x:v>640</x:v>
      </x:c>
    </x:row>
    <x:row r="16">
      <x:c r="A16" s="126" t="str">
        <x:v>Value / share</x:v>
      </x:c>
      <x:c r="B16" s="127" t="n">
        <x:f>B14*1000/B15</x:f>
        <x:v>10.156018781422324</x:v>
      </x:c>
      <x:c r="C16" s="127" t="n">
        <x:f>C14*1000/C15</x:f>
        <x:v>29.438429913109097</x:v>
      </x:c>
      <x:c r="D16" s="127" t="n">
        <x:f>D14*1000/D15</x:f>
        <x:v>59.20503502431418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3" max="13" width="20" hidden="0" customWidth="1"/>
    <x:col min="14" max="14" width="20" hidden="0" customWidth="1"/>
    <x:col min="16" max="16" width="25" hidden="0" customWidth="1"/>
    <x:col min="17" max="17" width="16" hidden="0" customWidth="1"/>
  </x:cols>
  <x:sheetData>
    <x:row r="1" ht="28" customHeight="1">
      <x:c r="A1" s="4" t="str">
        <x:v>DCF — Conservative Cross-Check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10" t="str">
        <x:v>DCF includes growth capex and therefore produces a deliberately conservative value during WULF's heavy construction phase. Terminal FCF normalizes maintenance capex separately from growth capex.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4">
      <x:c r="A4" s="19" t="str">
        <x:v>Metric</x:v>
      </x:c>
      <x:c r="B4" s="19" t="str">
        <x:v>2026E</x:v>
      </x:c>
      <x:c r="C4" s="19" t="str">
        <x:v>2027E</x:v>
      </x:c>
      <x:c r="D4" s="19" t="str">
        <x:v>2028E</x:v>
      </x:c>
      <x:c r="E4" s="19" t="str">
        <x:v>2029E</x:v>
      </x:c>
      <x:c r="F4" s="19" t="str">
        <x:v>2030E</x:v>
      </x:c>
      <x:c r="G4" s="19" t="str">
        <x:v>2031E</x:v>
      </x:c>
      <x:c r="H4" s="19" t="str">
        <x:v>2032E</x:v>
      </x:c>
      <x:c r="I4" s="19" t="str">
        <x:v>2033E</x:v>
      </x:c>
      <x:c r="J4" s="19" t="str">
        <x:v>2034E</x:v>
      </x:c>
      <x:c r="K4" s="19" t="str">
        <x:v>2035E</x:v>
      </x:c>
    </x:row>
    <x:row r="5">
      <x:c r="A5" s="41" t="str">
        <x:v>Bear DCF</x:v>
      </x:c>
      <x:c r="B5" s="41" t="str">
        <x:v>Bear DCF</x:v>
      </x:c>
      <x:c r="C5" s="41" t="str">
        <x:v>Bear DCF</x:v>
      </x:c>
      <x:c r="D5" s="41" t="str">
        <x:v>Bear DCF</x:v>
      </x:c>
      <x:c r="E5" s="41" t="str">
        <x:v>Bear DCF</x:v>
      </x:c>
      <x:c r="F5" s="41" t="str">
        <x:v>Bear DCF</x:v>
      </x:c>
      <x:c r="G5" s="41" t="str">
        <x:v>Bear DCF</x:v>
      </x:c>
      <x:c r="H5" s="41" t="str">
        <x:v>Bear DCF</x:v>
      </x:c>
      <x:c r="I5" s="41" t="str">
        <x:v>Bear DCF</x:v>
      </x:c>
      <x:c r="J5" s="41" t="str">
        <x:v>Bear DCF</x:v>
      </x:c>
      <x:c r="K5" s="41" t="str">
        <x:v>Bear DCF</x:v>
      </x:c>
      <x:c r="M5" t="str">
        <x:v>WACC</x:v>
      </x:c>
      <x:c r="N5" s="55" t="n">
        <x:v>0.14</x:v>
      </x:c>
    </x:row>
    <x:row r="6">
      <x:c r="A6" t="str">
        <x:v>FCFF</x:v>
      </x:c>
      <x:c r="B6" s="104" t="n">
        <x:f>Forecast!B28</x:f>
        <x:v>-3.2164772000000004</x:v>
      </x:c>
      <x:c r="C6" s="104" t="n">
        <x:f>Forecast!C28</x:f>
        <x:v>-3.9841334610000003</x:v>
      </x:c>
      <x:c r="D6" s="104" t="n">
        <x:f>Forecast!D28</x:f>
        <x:v>-2.89801067</x:v>
      </x:c>
      <x:c r="E6" s="104" t="n">
        <x:f>Forecast!E28</x:f>
        <x:v>-2.1753698368000003</x:v>
      </x:c>
      <x:c r="F6" s="104" t="n">
        <x:f>Forecast!F28</x:f>
        <x:v>-1.8571584959999998</x:v>
      </x:c>
      <x:c r="G6" s="104" t="n">
        <x:f>Forecast!G28</x:f>
        <x:v>-1.3138696284</x:v>
      </x:c>
      <x:c r="H6" s="104" t="n">
        <x:f>Forecast!H28</x:f>
        <x:v>-0.8744662593999999</x:v>
      </x:c>
      <x:c r="I6" s="104" t="n">
        <x:f>Forecast!I28</x:f>
        <x:v>-0.4297140543999993</x:v>
      </x:c>
      <x:c r="J6" s="104" t="n">
        <x:f>Forecast!J28</x:f>
        <x:v>-0.09301291000000012</x:v>
      </x:c>
      <x:c r="K6" s="104" t="n">
        <x:f>Forecast!K28</x:f>
        <x:v>0.24920859000000029</x:v>
      </x:c>
      <x:c r="M6" t="str">
        <x:v>Terminal growth</x:v>
      </x:c>
      <x:c r="N6" s="55" t="n">
        <x:v>0.025</x:v>
      </x:c>
    </x:row>
    <x:row r="7">
      <x:c r="A7" t="str">
        <x:v>Discount period</x:v>
      </x:c>
      <x:c r="B7" s="34" t="n">
        <x:v>0.4</x:v>
      </x:c>
      <x:c r="C7" s="34" t="n">
        <x:v>1.4</x:v>
      </x:c>
      <x:c r="D7" s="34" t="n">
        <x:v>2.4</x:v>
      </x:c>
      <x:c r="E7" s="34" t="n">
        <x:v>3.4</x:v>
      </x:c>
      <x:c r="F7" s="34" t="n">
        <x:v>4.4</x:v>
      </x:c>
      <x:c r="G7" s="34" t="n">
        <x:v>5.4</x:v>
      </x:c>
      <x:c r="H7" s="34" t="n">
        <x:v>6.4</x:v>
      </x:c>
      <x:c r="I7" s="34" t="n">
        <x:v>7.4</x:v>
      </x:c>
      <x:c r="J7" s="34" t="n">
        <x:v>8.4</x:v>
      </x:c>
      <x:c r="K7" s="34" t="n">
        <x:v>9.4</x:v>
      </x:c>
      <x:c r="M7" t="str">
        <x:v>Terminal maintenance capex / revenue</x:v>
      </x:c>
      <x:c r="N7" s="55" t="n">
        <x:v>0.12</x:v>
      </x:c>
    </x:row>
    <x:row r="8">
      <x:c r="A8" t="str">
        <x:v>Discount factor</x:v>
      </x:c>
      <x:c r="B8" s="130" t="n">
        <x:f>1/(1+$N$5)^B7</x:f>
        <x:v>0.9489384834576693</x:v>
      </x:c>
      <x:c r="C8" s="130" t="n">
        <x:f>1/(1+$N$5)^C7</x:f>
        <x:v>0.8324021784716397</x:v>
      </x:c>
      <x:c r="D8" s="130" t="n">
        <x:f>1/(1+$N$5)^D7</x:f>
        <x:v>0.730177349536526</x:v>
      </x:c>
      <x:c r="E8" s="130" t="n">
        <x:f>1/(1+$N$5)^E7</x:f>
        <x:v>0.6405064469618649</x:v>
      </x:c>
      <x:c r="F8" s="130" t="n">
        <x:f>1/(1+$N$5)^F7</x:f>
        <x:v>0.5618477604928638</x:v>
      </x:c>
      <x:c r="G8" s="130" t="n">
        <x:f>1/(1+$N$5)^G7</x:f>
        <x:v>0.4928489127130384</x:v>
      </x:c>
      <x:c r="H8" s="130" t="n">
        <x:f>1/(1+$N$5)^H7</x:f>
        <x:v>0.43232360764301603</x:v>
      </x:c>
      <x:c r="I8" s="130" t="n">
        <x:f>1/(1+$N$5)^I7</x:f>
        <x:v>0.37923123477457543</x:v>
      </x:c>
      <x:c r="J8" s="130" t="n">
        <x:f>1/(1+$N$5)^J7</x:f>
        <x:v>0.33265897787243454</x:v>
      </x:c>
      <x:c r="K8" s="130" t="n">
        <x:f>1/(1+$N$5)^K7</x:f>
        <x:v>0.29180612094073205</x:v>
      </x:c>
    </x:row>
    <x:row r="9">
      <x:c r="A9" t="str">
        <x:v>PV FCFF</x:v>
      </x:c>
      <x:c r="B9" s="92" t="n">
        <x:f>B6*B8</x:f>
        <x:v>-3.0522389962441707</x:v>
      </x:c>
      <x:c r="C9" s="92" t="n">
        <x:f>C6*C8</x:f>
        <x:v>-3.3164013722581536</x:v>
      </x:c>
      <x:c r="D9" s="92" t="n">
        <x:f>D6*D8</x:f>
        <x:v>-2.116061749949172</x:v>
      </x:c>
      <x:c r="E9" s="92" t="n">
        <x:f>E6*E8</x:f>
        <x:v>-1.39333840499678</x:v>
      </x:c>
      <x:c r="F9" s="92" t="n">
        <x:f>F6*F8</x:f>
        <x:v>-1.043440341857895</x:v>
      </x:c>
      <x:c r="G9" s="92" t="n">
        <x:f>G6*G8</x:f>
        <x:v>-0.6475392178036238</x:v>
      </x:c>
      <x:c r="H9" s="92" t="n">
        <x:f>H6*H8</x:f>
        <x:v>-0.37805240802590145</x:v>
      </x:c>
      <x:c r="I9" s="92" t="n">
        <x:f>I6*I8</x:f>
        <x:v>-0.16296099145010082</x:v>
      </x:c>
      <x:c r="J9" s="92" t="n">
        <x:f>J6*J8</x:f>
        <x:v>-0.030941579569540783</x:v>
      </x:c>
      <x:c r="K9" s="92" t="n">
        <x:f>K6*K8</x:f>
        <x:v>0.0727205919530094</x:v>
      </x:c>
      <x:c r="P9" t="str">
        <x:v>PV explicit FCFF</x:v>
      </x:c>
      <x:c r="Q9" s="92" t="n">
        <x:f>SUM(B9:K9)</x:f>
        <x:v>-12.06825447020233</x:v>
      </x:c>
    </x:row>
    <x:row r="10">
      <x:c r="P10" t="str">
        <x:v>2035 normalized NOPAT</x:v>
      </x:c>
      <x:c r="Q10" s="92" t="n">
        <x:f>MAX(Forecast!K23,0)*(1-21%)</x:f>
        <x:v>1.7687475900000005</x:v>
      </x:c>
    </x:row>
    <x:row r="11">
      <x:c r="P11" t="str">
        <x:v>2035 D&amp;A</x:v>
      </x:c>
      <x:c r="Q11" s="92" t="n">
        <x:f>Forecast!K22</x:f>
        <x:v>0.5804610000000001</x:v>
      </x:c>
    </x:row>
    <x:row r="12">
      <x:c r="P12" t="str">
        <x:v>2035 maintenance capex</x:v>
      </x:c>
      <x:c r="Q12" s="92" t="n">
        <x:f>Forecast!K17*$N$7</x:f>
        <x:v>0.49753800000000004</x:v>
      </x:c>
    </x:row>
    <x:row r="13">
      <x:c r="P13" t="str">
        <x:v>Normalized terminal FCFF</x:v>
      </x:c>
      <x:c r="Q13" s="92" t="n">
        <x:f>Q10+Q11-Q12</x:f>
        <x:v>1.8516705900000008</x:v>
      </x:c>
    </x:row>
    <x:row r="14">
      <x:c r="P14" t="str">
        <x:v>Terminal value</x:v>
      </x:c>
      <x:c r="Q14" s="92" t="n">
        <x:f>Q13*(1+$N$6)/($N$5-$N$6)</x:f>
        <x:v>16.50402047608696</x:v>
      </x:c>
    </x:row>
    <x:row r="15">
      <x:c r="P15" t="str">
        <x:v>PV terminal value</x:v>
      </x:c>
      <x:c r="Q15" s="92" t="n">
        <x:f>Q14*K8</x:f>
        <x:v>4.81597419505335</x:v>
      </x:c>
    </x:row>
    <x:row r="16">
      <x:c r="P16" t="str">
        <x:v>Enterprise value</x:v>
      </x:c>
      <x:c r="Q16" s="92" t="n">
        <x:f>Q9+Q15</x:f>
        <x:v>-7.25228027514898</x:v>
      </x:c>
    </x:row>
    <x:row r="17">
      <x:c r="P17" t="str">
        <x:v>Current net debt</x:v>
      </x:c>
      <x:c r="Q17" s="104" t="n">
        <x:f>CapitalStructure!B7</x:f>
        <x:v>2.184504</x:v>
      </x:c>
    </x:row>
    <x:row r="18">
      <x:c r="P18" t="str">
        <x:v>Abernathy proceeds</x:v>
      </x:c>
      <x:c r="Q18" s="104" t="n">
        <x:f>CapitalStructure!B8</x:f>
        <x:v>0.53</x:v>
      </x:c>
    </x:row>
    <x:row r="19">
      <x:c r="P19" t="str">
        <x:v>Equity value</x:v>
      </x:c>
      <x:c r="Q19" s="104" t="n">
        <x:f>Q16-Q17+Q18</x:f>
        <x:v>-8.906784275148981</x:v>
      </x:c>
    </x:row>
    <x:row r="20">
      <x:c r="A20" s="41" t="str">
        <x:v>Base DCF</x:v>
      </x:c>
      <x:c r="B20" s="41" t="str">
        <x:v>Base DCF</x:v>
      </x:c>
      <x:c r="C20" s="41" t="str">
        <x:v>Base DCF</x:v>
      </x:c>
      <x:c r="D20" s="41" t="str">
        <x:v>Base DCF</x:v>
      </x:c>
      <x:c r="E20" s="41" t="str">
        <x:v>Base DCF</x:v>
      </x:c>
      <x:c r="F20" s="41" t="str">
        <x:v>Base DCF</x:v>
      </x:c>
      <x:c r="G20" s="41" t="str">
        <x:v>Base DCF</x:v>
      </x:c>
      <x:c r="H20" s="41" t="str">
        <x:v>Base DCF</x:v>
      </x:c>
      <x:c r="I20" s="41" t="str">
        <x:v>Base DCF</x:v>
      </x:c>
      <x:c r="J20" s="41" t="str">
        <x:v>Base DCF</x:v>
      </x:c>
      <x:c r="K20" s="41" t="str">
        <x:v>Base DCF</x:v>
      </x:c>
      <x:c r="M20" t="str">
        <x:v>WACC</x:v>
      </x:c>
      <x:c r="N20" s="85" t="n">
        <x:v>0.115</x:v>
      </x:c>
      <x:c r="P20" t="str">
        <x:v>Diluted shares (mm)</x:v>
      </x:c>
      <x:c r="Q20" s="124" t="n">
        <x:f>CapitalStructure!B13</x:f>
        <x:v>627.2753359999999</x:v>
      </x:c>
    </x:row>
    <x:row r="21">
      <x:c r="A21" t="str">
        <x:v>FCFF</x:v>
      </x:c>
      <x:c r="B21" s="104" t="n">
        <x:f>Forecast!B45</x:f>
        <x:v>-2.96418</x:v>
      </x:c>
      <x:c r="C21" s="104" t="n">
        <x:f>Forecast!C45</x:f>
        <x:v>-3.3958755099999998</x:v>
      </x:c>
      <x:c r="D21" s="104" t="n">
        <x:f>Forecast!D45</x:f>
        <x:v>-2.1413614400000003</x:v>
      </x:c>
      <x:c r="E21" s="104" t="n">
        <x:f>Forecast!E45</x:f>
        <x:v>-1.42872832</x:v>
      </x:c>
      <x:c r="F21" s="104" t="n">
        <x:f>Forecast!F45</x:f>
        <x:v>-0.89639698</x:v>
      </x:c>
      <x:c r="G21" s="104" t="n">
        <x:f>Forecast!G45</x:f>
        <x:v>-0.21498041999999984</x:v>
      </x:c>
      <x:c r="H21" s="104" t="n">
        <x:f>Forecast!H45</x:f>
        <x:v>0.47304813999999995</x:v>
      </x:c>
      <x:c r="I21" s="104" t="n">
        <x:f>Forecast!I45</x:f>
        <x:v>1.1376295300000006</x:v>
      </x:c>
      <x:c r="J21" s="104" t="n">
        <x:f>Forecast!J45</x:f>
        <x:v>1.7010139200000003</x:v>
      </x:c>
      <x:c r="K21" s="104" t="n">
        <x:f>Forecast!K45</x:f>
        <x:v>2.2690059199999997</x:v>
      </x:c>
      <x:c r="M21" t="str">
        <x:v>Terminal growth</x:v>
      </x:c>
      <x:c r="N21" s="85" t="n">
        <x:v>0.03</x:v>
      </x:c>
      <x:c r="P21" s="64" t="str">
        <x:v>DCF value / share</x:v>
      </x:c>
      <x:c r="Q21" s="70" t="n">
        <x:f>MAX(0,Q19)*1000/Q20</x:f>
        <x:v>0</x:v>
      </x:c>
    </x:row>
    <x:row r="22">
      <x:c r="A22" t="str">
        <x:v>Discount period</x:v>
      </x:c>
      <x:c r="B22" s="34" t="n">
        <x:v>0.4</x:v>
      </x:c>
      <x:c r="C22" s="34" t="n">
        <x:v>1.4</x:v>
      </x:c>
      <x:c r="D22" s="34" t="n">
        <x:v>2.4</x:v>
      </x:c>
      <x:c r="E22" s="34" t="n">
        <x:v>3.4</x:v>
      </x:c>
      <x:c r="F22" s="34" t="n">
        <x:v>4.4</x:v>
      </x:c>
      <x:c r="G22" s="34" t="n">
        <x:v>5.4</x:v>
      </x:c>
      <x:c r="H22" s="34" t="n">
        <x:v>6.4</x:v>
      </x:c>
      <x:c r="I22" s="34" t="n">
        <x:v>7.4</x:v>
      </x:c>
      <x:c r="J22" s="34" t="n">
        <x:v>8.4</x:v>
      </x:c>
      <x:c r="K22" s="34" t="n">
        <x:v>9.4</x:v>
      </x:c>
      <x:c r="M22" t="str">
        <x:v>Terminal maintenance capex / revenue</x:v>
      </x:c>
      <x:c r="N22" s="85" t="n">
        <x:v>0.1</x:v>
      </x:c>
    </x:row>
    <x:row r="23">
      <x:c r="A23" t="str">
        <x:v>Discount factor</x:v>
      </x:c>
      <x:c r="B23" s="130" t="n">
        <x:f>1/(1+$N$20)^B22</x:f>
        <x:v>0.9573925706612123</x:v>
      </x:c>
      <x:c r="C23" s="130" t="n">
        <x:f>1/(1+$N$20)^C22</x:f>
        <x:v>0.8586480454360649</x:v>
      </x:c>
      <x:c r="D23" s="130" t="n">
        <x:f>1/(1+$N$20)^D22</x:f>
        <x:v>0.7700879331265156</x:v>
      </x:c>
      <x:c r="E23" s="130" t="n">
        <x:f>1/(1+$N$20)^E22</x:f>
        <x:v>0.6906618234318526</x:v>
      </x:c>
      <x:c r="F23" s="130" t="n">
        <x:f>1/(1+$N$20)^F22</x:f>
        <x:v>0.6194276443335</x:v>
      </x:c>
      <x:c r="G23" s="130" t="n">
        <x:f>1/(1+$N$20)^G22</x:f>
        <x:v>0.5555404881914798</x:v>
      </x:c>
      <x:c r="H23" s="130" t="n">
        <x:f>1/(1+$N$20)^H22</x:f>
        <x:v>0.4982425903062599</x:v>
      </x:c>
      <x:c r="I23" s="130" t="n">
        <x:f>1/(1+$N$20)^I22</x:f>
        <x:v>0.4468543410818474</x:v>
      </x:c>
      <x:c r="J23" s="130" t="n">
        <x:f>1/(1+$N$20)^J22</x:f>
        <x:v>0.40076622518551347</x:v>
      </x:c>
      <x:c r="K23" s="130" t="n">
        <x:f>1/(1+$N$20)^K22</x:f>
        <x:v>0.3594315920946309</x:v>
      </x:c>
    </x:row>
    <x:row r="24">
      <x:c r="A24" t="str">
        <x:v>PV FCFF</x:v>
      </x:c>
      <x:c r="B24" s="92" t="n">
        <x:f>B21*B23</x:f>
        <x:v>-2.837883910102552</x:v>
      </x:c>
      <x:c r="C24" s="92" t="n">
        <x:f>C21*C23</x:f>
        <x:v>-2.9158618692057</x:v>
      </x:c>
      <x:c r="D24" s="92" t="n">
        <x:f>D21*D23</x:f>
        <x:v>-1.6490366054064194</x:v>
      </x:c>
      <x:c r="E24" s="92" t="n">
        <x:f>E21*E23</x:f>
        <x:v>-0.9867681066799274</x:v>
      </x:c>
      <x:c r="F24" s="92" t="n">
        <x:f>F21*F23</x:f>
        <x:v>-0.5552530697090635</x:v>
      </x:c>
      <x:c r="G24" s="92" t="n">
        <x:f>G21*G23</x:f>
        <x:v>-0.11943032747840929</x:v>
      </x:c>
      <x:c r="H24" s="92" t="n">
        <x:f>H21*H23</x:f>
        <x:v>0.23569273061315824</x:v>
      </x:c>
      <x:c r="I24" s="92" t="n">
        <x:f>I21*I23</x:f>
        <x:v>0.508354694023402</x:v>
      </x:c>
      <x:c r="J24" s="92" t="n">
        <x:f>J21*J23</x:f>
        <x:v>0.6817089277064131</x:v>
      </x:c>
      <x:c r="K24" s="92" t="n">
        <x:f>K21*K23</x:f>
        <x:v>0.8155524102977425</x:v>
      </x:c>
      <x:c r="P24" t="str">
        <x:v>PV explicit FCFF</x:v>
      </x:c>
      <x:c r="Q24" s="92" t="n">
        <x:f>SUM(B24:K24)</x:f>
        <x:v>-6.822925125941355</x:v>
      </x:c>
    </x:row>
    <x:row r="25">
      <x:c r="P25" t="str">
        <x:v>2035 normalized NOPAT</x:v>
      </x:c>
      <x:c r="Q25" s="92" t="n">
        <x:f>MAX(Forecast!K40,0)*(1-21%)</x:f>
        <x:v>2.79505792</x:v>
      </x:c>
    </x:row>
    <x:row r="26">
      <x:c r="P26" t="str">
        <x:v>2035 D&amp;A</x:v>
      </x:c>
      <x:c r="Q26" s="92" t="n">
        <x:f>Forecast!K39</x:f>
        <x:v>0.7739480000000001</x:v>
      </x:c>
    </x:row>
    <x:row r="27">
      <x:c r="P27" t="str">
        <x:v>2035 maintenance capex</x:v>
      </x:c>
      <x:c r="Q27" s="92" t="n">
        <x:f>Forecast!K34*$N$22</x:f>
        <x:v>0.55282</x:v>
      </x:c>
    </x:row>
    <x:row r="28">
      <x:c r="P28" t="str">
        <x:v>Normalized terminal FCFF</x:v>
      </x:c>
      <x:c r="Q28" s="92" t="n">
        <x:f>Q25+Q26-Q27</x:f>
        <x:v>3.0161859200000003</x:v>
      </x:c>
    </x:row>
    <x:row r="29">
      <x:c r="P29" t="str">
        <x:v>Terminal value</x:v>
      </x:c>
      <x:c r="Q29" s="92" t="n">
        <x:f>Q28*(1+$N$21)/($N$20-$N$21)</x:f>
        <x:v>36.54907644235294</x:v>
      </x:c>
    </x:row>
    <x:row r="30">
      <x:c r="P30" t="str">
        <x:v>PV terminal value</x:v>
      </x:c>
      <x:c r="Q30" s="92" t="n">
        <x:f>Q29*K23</x:f>
        <x:v>13.136892735263284</x:v>
      </x:c>
    </x:row>
    <x:row r="31">
      <x:c r="P31" t="str">
        <x:v>Enterprise value</x:v>
      </x:c>
      <x:c r="Q31" s="92" t="n">
        <x:f>Q24+Q30</x:f>
        <x:v>6.31396760932193</x:v>
      </x:c>
    </x:row>
    <x:row r="32">
      <x:c r="P32" t="str">
        <x:v>Current net debt</x:v>
      </x:c>
      <x:c r="Q32" s="104" t="n">
        <x:f>CapitalStructure!B7</x:f>
        <x:v>2.184504</x:v>
      </x:c>
    </x:row>
    <x:row r="33">
      <x:c r="P33" t="str">
        <x:v>Abernathy proceeds</x:v>
      </x:c>
      <x:c r="Q33" s="104" t="n">
        <x:f>CapitalStructure!B8</x:f>
        <x:v>0.53</x:v>
      </x:c>
    </x:row>
    <x:row r="34">
      <x:c r="P34" t="str">
        <x:v>Equity value</x:v>
      </x:c>
      <x:c r="Q34" s="104" t="n">
        <x:f>Q31-Q32+Q33</x:f>
        <x:v>4.6594636093219295</x:v>
      </x:c>
    </x:row>
    <x:row r="35">
      <x:c r="A35" s="41" t="str">
        <x:v>Bull DCF</x:v>
      </x:c>
      <x:c r="B35" s="41" t="str">
        <x:v>Bull DCF</x:v>
      </x:c>
      <x:c r="C35" s="41" t="str">
        <x:v>Bull DCF</x:v>
      </x:c>
      <x:c r="D35" s="41" t="str">
        <x:v>Bull DCF</x:v>
      </x:c>
      <x:c r="E35" s="41" t="str">
        <x:v>Bull DCF</x:v>
      </x:c>
      <x:c r="F35" s="41" t="str">
        <x:v>Bull DCF</x:v>
      </x:c>
      <x:c r="G35" s="41" t="str">
        <x:v>Bull DCF</x:v>
      </x:c>
      <x:c r="H35" s="41" t="str">
        <x:v>Bull DCF</x:v>
      </x:c>
      <x:c r="I35" s="41" t="str">
        <x:v>Bull DCF</x:v>
      </x:c>
      <x:c r="J35" s="41" t="str">
        <x:v>Bull DCF</x:v>
      </x:c>
      <x:c r="K35" s="41" t="str">
        <x:v>Bull DCF</x:v>
      </x:c>
      <x:c r="M35" t="str">
        <x:v>WACC</x:v>
      </x:c>
      <x:c r="N35" s="55" t="n">
        <x:v>0.1</x:v>
      </x:c>
      <x:c r="P35" t="str">
        <x:v>Diluted shares (mm)</x:v>
      </x:c>
      <x:c r="Q35" s="124" t="n">
        <x:f>CapitalStructure!B13</x:f>
        <x:v>627.2753359999999</x:v>
      </x:c>
    </x:row>
    <x:row r="36">
      <x:c r="A36" t="str">
        <x:v>FCFF</x:v>
      </x:c>
      <x:c r="B36" s="104" t="n">
        <x:f>Forecast!B62</x:f>
        <x:v>-2.9435835</x:v>
      </x:c>
      <x:c r="C36" s="104" t="n">
        <x:f>Forecast!C62</x:f>
        <x:v>-3.5295879964</x:v>
      </x:c>
      <x:c r="D36" s="104" t="n">
        <x:f>Forecast!D62</x:f>
        <x:v>-2.223766846</x:v>
      </x:c>
      <x:c r="E36" s="104" t="n">
        <x:f>Forecast!E62</x:f>
        <x:v>-1.2477553824000003</x:v>
      </x:c>
      <x:c r="F36" s="104" t="n">
        <x:f>Forecast!F62</x:f>
        <x:v>-0.4826071039999995</x:v>
      </x:c>
      <x:c r="G36" s="104" t="n">
        <x:f>Forecast!G62</x:f>
        <x:v>0.48775282760000005</x:v>
      </x:c>
      <x:c r="H36" s="104" t="n">
        <x:f>Forecast!H62</x:f>
        <x:v>1.4975296071999997</x:v>
      </x:c>
      <x:c r="I36" s="104" t="n">
        <x:f>Forecast!I62</x:f>
        <x:v>2.4912805163999994</x:v>
      </x:c>
      <x:c r="J36" s="104" t="n">
        <x:f>Forecast!J62</x:f>
        <x:v>3.4213396545999997</x:v>
      </x:c>
      <x:c r="K36" s="104" t="n">
        <x:f>Forecast!K62</x:f>
        <x:v>4.3966987556</x:v>
      </x:c>
      <x:c r="M36" t="str">
        <x:v>Terminal growth</x:v>
      </x:c>
      <x:c r="N36" s="55" t="n">
        <x:v>0.035</x:v>
      </x:c>
      <x:c r="P36" s="64" t="str">
        <x:v>DCF value / share</x:v>
      </x:c>
      <x:c r="Q36" s="70" t="n">
        <x:f>MAX(0,Q34)*1000/Q35</x:f>
        <x:v>7.428099499391014</x:v>
      </x:c>
    </x:row>
    <x:row r="37">
      <x:c r="A37" t="str">
        <x:v>Discount period</x:v>
      </x:c>
      <x:c r="B37" s="34" t="n">
        <x:v>0.4</x:v>
      </x:c>
      <x:c r="C37" s="34" t="n">
        <x:v>1.4</x:v>
      </x:c>
      <x:c r="D37" s="34" t="n">
        <x:v>2.4</x:v>
      </x:c>
      <x:c r="E37" s="34" t="n">
        <x:v>3.4</x:v>
      </x:c>
      <x:c r="F37" s="34" t="n">
        <x:v>4.4</x:v>
      </x:c>
      <x:c r="G37" s="34" t="n">
        <x:v>5.4</x:v>
      </x:c>
      <x:c r="H37" s="34" t="n">
        <x:v>6.4</x:v>
      </x:c>
      <x:c r="I37" s="34" t="n">
        <x:v>7.4</x:v>
      </x:c>
      <x:c r="J37" s="34" t="n">
        <x:v>8.4</x:v>
      </x:c>
      <x:c r="K37" s="34" t="n">
        <x:v>9.4</x:v>
      </x:c>
      <x:c r="M37" t="str">
        <x:v>Terminal maintenance capex / revenue</x:v>
      </x:c>
      <x:c r="N37" s="55" t="n">
        <x:v>0.085</x:v>
      </x:c>
    </x:row>
    <x:row r="38">
      <x:c r="A38" t="str">
        <x:v>Discount factor</x:v>
      </x:c>
      <x:c r="B38" s="130" t="n">
        <x:f>1/(1+$N$35)^B37</x:f>
        <x:v>0.9625935026561678</x:v>
      </x:c>
      <x:c r="C38" s="130" t="n">
        <x:f>1/(1+$N$35)^C37</x:f>
        <x:v>0.8750850024146979</x:v>
      </x:c>
      <x:c r="D38" s="130" t="n">
        <x:f>1/(1+$N$35)^D37</x:f>
        <x:v>0.795531820376998</x:v>
      </x:c>
      <x:c r="E38" s="130" t="n">
        <x:f>1/(1+$N$35)^E37</x:f>
        <x:v>0.7232107457972708</x:v>
      </x:c>
      <x:c r="F38" s="130" t="n">
        <x:f>1/(1+$N$35)^F37</x:f>
        <x:v>0.6574643143611553</x:v>
      </x:c>
      <x:c r="G38" s="130" t="n">
        <x:f>1/(1+$N$35)^G37</x:f>
        <x:v>0.5976948312374137</x:v>
      </x:c>
      <x:c r="H38" s="130" t="n">
        <x:f>1/(1+$N$35)^H37</x:f>
        <x:v>0.5433589374885579</x:v>
      </x:c>
      <x:c r="I38" s="130" t="n">
        <x:f>1/(1+$N$35)^I37</x:f>
        <x:v>0.49396267044414355</x:v>
      </x:c>
      <x:c r="J38" s="130" t="n">
        <x:f>1/(1+$N$35)^J37</x:f>
        <x:v>0.44905697313103954</x:v>
      </x:c>
      <x:c r="K38" s="130" t="n">
        <x:f>1/(1+$N$35)^K37</x:f>
        <x:v>0.4082336119373086</x:v>
      </x:c>
    </x:row>
    <x:row r="39">
      <x:c r="A39" t="str">
        <x:v>PV FCFF</x:v>
      </x:c>
      <x:c r="B39" s="92" t="n">
        <x:f>B36*B38</x:f>
        <x:v>-2.8334743516259016</x:v>
      </x:c>
      <x:c r="C39" s="92" t="n">
        <x:f>C36*C38</x:f>
        <x:v>-3.088689520352583</x:v>
      </x:c>
      <x:c r="D39" s="92" t="n">
        <x:f>D36*D38</x:f>
        <x:v>-1.7690772870923954</x:v>
      </x:c>
      <x:c r="E39" s="92" t="n">
        <x:f>E36*E38</x:f>
        <x:v>-0.9023901006780631</x:v>
      </x:c>
      <x:c r="F39" s="92" t="n">
        <x:f>F36*F38</x:f>
        <x:v>-0.31729694873718245</x:v>
      </x:c>
      <x:c r="G39" s="92" t="n">
        <x:f>G36*G38</x:f>
        <x:v>0.2915273439779534</x:v>
      </x:c>
      <x:c r="H39" s="92" t="n">
        <x:f>H36*H38</x:f>
        <x:v>0.8136960962258494</x:v>
      </x:c>
      <x:c r="I39" s="92" t="n">
        <x:f>I36*I38</x:f>
        <x:v>1.2305995767064086</x:v>
      </x:c>
      <x:c r="J39" s="92" t="n">
        <x:f>J36*J38</x:f>
        <x:v>1.536376429347872</x:v>
      </x:c>
      <x:c r="K39" s="92" t="n">
        <x:f>K36*K38</x:f>
        <x:v>1.7948802135988582</x:v>
      </x:c>
      <x:c r="P39" t="str">
        <x:v>PV explicit FCFF</x:v>
      </x:c>
      <x:c r="Q39" s="92" t="n">
        <x:f>SUM(B39:K39)</x:f>
        <x:v>-3.2438485486291815</x:v>
      </x:c>
    </x:row>
    <x:row r="40">
      <x:c r="P40" t="str">
        <x:v>2035 normalized NOPAT</x:v>
      </x:c>
      <x:c r="Q40" s="92" t="n">
        <x:f>MAX(Forecast!K57,0)*(1-21%)</x:f>
        <x:v>4.7612064756</x:v>
      </x:c>
    </x:row>
    <x:row r="41">
      <x:c r="P41" t="str">
        <x:v>2035 D&amp;A</x:v>
      </x:c>
      <x:c r="Q41" s="92" t="n">
        <x:f>Forecast!K56</x:f>
        <x:v>1.13549228</x:v>
      </x:c>
    </x:row>
    <x:row r="42">
      <x:c r="P42" t="str">
        <x:v>2035 maintenance capex</x:v>
      </x:c>
      <x:c r="Q42" s="92" t="n">
        <x:f>Forecast!K51*$N$37</x:f>
        <x:v>0.74243726</x:v>
      </x:c>
    </x:row>
    <x:row r="43">
      <x:c r="P43" t="str">
        <x:v>Normalized terminal FCFF</x:v>
      </x:c>
      <x:c r="Q43" s="92" t="n">
        <x:f>Q40+Q41-Q42</x:f>
        <x:v>5.1542614956</x:v>
      </x:c>
    </x:row>
    <x:row r="44">
      <x:c r="P44" t="str">
        <x:v>Terminal value</x:v>
      </x:c>
      <x:c r="Q44" s="92" t="n">
        <x:f>Q43*(1+$N$36)/($N$35-$N$36)</x:f>
        <x:v>82.0717022760923</x:v>
      </x:c>
    </x:row>
    <x:row r="45">
      <x:c r="P45" t="str">
        <x:v>PV terminal value</x:v>
      </x:c>
      <x:c r="Q45" s="92" t="n">
        <x:f>Q44*K38</x:f>
        <x:v>33.50442745801259</x:v>
      </x:c>
    </x:row>
    <x:row r="46">
      <x:c r="P46" t="str">
        <x:v>Enterprise value</x:v>
      </x:c>
      <x:c r="Q46" s="92" t="n">
        <x:f>Q39+Q45</x:f>
        <x:v>30.260578909383412</x:v>
      </x:c>
    </x:row>
    <x:row r="47">
      <x:c r="P47" t="str">
        <x:v>Current net debt</x:v>
      </x:c>
      <x:c r="Q47" s="104" t="n">
        <x:f>CapitalStructure!B7</x:f>
        <x:v>2.184504</x:v>
      </x:c>
    </x:row>
    <x:row r="48">
      <x:c r="P48" t="str">
        <x:v>Abernathy proceeds</x:v>
      </x:c>
      <x:c r="Q48" s="104" t="n">
        <x:f>CapitalStructure!B8</x:f>
        <x:v>0.53</x:v>
      </x:c>
    </x:row>
    <x:row r="49">
      <x:c r="P49" t="str">
        <x:v>Equity value</x:v>
      </x:c>
      <x:c r="Q49" s="104" t="n">
        <x:f>Q46-Q47+Q48</x:f>
        <x:v>28.606074909383413</x:v>
      </x:c>
    </x:row>
    <x:row r="50">
      <x:c r="P50" t="str">
        <x:v>Diluted shares (mm)</x:v>
      </x:c>
      <x:c r="Q50" s="124" t="n">
        <x:f>CapitalStructure!B13</x:f>
        <x:v>627.2753359999999</x:v>
      </x:c>
    </x:row>
    <x:row r="51">
      <x:c r="P51" s="64" t="str">
        <x:v>DCF value / share</x:v>
      </x:c>
      <x:c r="Q51" s="70" t="n">
        <x:f>MAX(0,Q49)*1000/Q50</x:f>
        <x:v>45.60369787818888</x:v>
      </x:c>
    </x:row>
  </x:sheetData>
  <x:mergeCells>
    <x:mergeCell ref="A1:R1"/>
    <x:mergeCell ref="A2:R2"/>
    <x:mergeCell ref="A5:K5"/>
    <x:mergeCell ref="A20:K20"/>
    <x:mergeCell ref="A35:K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4" t="str">
        <x:v>Forward NOI / EBITDA Valuation</x:v>
      </x:c>
      <x:c r="B1" s="4"/>
      <x:c r="C1" s="4"/>
      <x:c r="D1" s="4"/>
      <x:c r="E1" s="4"/>
      <x:c r="F1" s="4"/>
    </x:row>
    <x:row r="2" ht="28" customHeight="1">
      <x:c r="A2" s="10" t="str">
        <x:v>Public data-center REIT multiples are context only; WULF receives a substantial discount for construction risk, leverage, concentration and dilution.</x:v>
      </x:c>
      <x:c r="B2" s="10"/>
      <x:c r="C2" s="10"/>
      <x:c r="D2" s="10"/>
      <x:c r="E2" s="10"/>
      <x:c r="F2" s="10"/>
    </x:row>
    <x:row r="4">
      <x:c r="A4" s="41" t="str">
        <x:v>Peer Context</x:v>
      </x:c>
      <x:c r="B4" s="41" t="str">
        <x:v>Peer Context</x:v>
      </x:c>
      <x:c r="C4" s="41" t="str">
        <x:v>Peer Context</x:v>
      </x:c>
      <x:c r="D4" s="41" t="str">
        <x:v>Peer Context</x:v>
      </x:c>
      <x:c r="E4" s="41" t="str">
        <x:v>Peer Context</x:v>
      </x:c>
      <x:c r="F4" s="41" t="str">
        <x:v>Peer Context</x:v>
      </x:c>
    </x:row>
    <x:row r="5">
      <x:c r="A5" s="19" t="str">
        <x:v>Company</x:v>
      </x:c>
      <x:c r="B5" s="19" t="str">
        <x:v>Metric</x:v>
      </x:c>
      <x:c r="C5" s="19" t="str">
        <x:v>Current multiple</x:v>
      </x:c>
      <x:c r="D5" s="19" t="str">
        <x:v>Date</x:v>
      </x:c>
      <x:c r="E5" s="19" t="str">
        <x:v>Source</x:v>
      </x:c>
    </x:row>
    <x:row r="6">
      <x:c r="A6" t="str">
        <x:v>Equinix</x:v>
      </x:c>
      <x:c r="B6" t="str">
        <x:v>EV/EBITDA</x:v>
      </x:c>
      <x:c r="C6" s="79" t="n">
        <x:v>27.62</x:v>
      </x:c>
      <x:c r="D6" t="str">
        <x:v>Jul 28 2026</x:v>
      </x:c>
      <x:c r="E6" t="str">
        <x:v>S9</x:v>
      </x:c>
    </x:row>
    <x:row r="7">
      <x:c r="A7" t="str">
        <x:v>Digital Realty</x:v>
      </x:c>
      <x:c r="B7" t="str">
        <x:v>EV/EBITDA</x:v>
      </x:c>
      <x:c r="C7" s="79" t="n">
        <x:v>37.87</x:v>
      </x:c>
      <x:c r="D7" t="str">
        <x:v>Jul 2026</x:v>
      </x:c>
      <x:c r="E7" t="str">
        <x:v>S10</x:v>
      </x:c>
    </x:row>
    <x:row r="10">
      <x:c r="A10" s="41" t="str">
        <x:v>2028 Stabilized Forward NOI Method</x:v>
      </x:c>
      <x:c r="B10" s="41" t="str">
        <x:v>2028 Stabilized Forward NOI Method</x:v>
      </x:c>
      <x:c r="C10" s="41" t="str">
        <x:v>2028 Stabilized Forward NOI Method</x:v>
      </x:c>
      <x:c r="D10" s="41" t="str">
        <x:v>2028 Stabilized Forward NOI Method</x:v>
      </x:c>
      <x:c r="E10" s="41" t="str">
        <x:v>2028 Stabilized Forward NOI Method</x:v>
      </x:c>
      <x:c r="F10" s="41" t="str">
        <x:v>2028 Stabilized Forward NOI Method</x:v>
      </x:c>
    </x:row>
    <x:row r="11">
      <x:c r="A11" s="19" t="str">
        <x:v>Metric</x:v>
      </x:c>
      <x:c r="B11" s="19" t="str">
        <x:v>Bear</x:v>
      </x:c>
      <x:c r="C11" s="19" t="str">
        <x:v>Base</x:v>
      </x:c>
      <x:c r="D11" s="19" t="str">
        <x:v>Bull</x:v>
      </x:c>
    </x:row>
    <x:row r="12">
      <x:c r="A12" t="str">
        <x:v>2028 revenue ($bn)</x:v>
      </x:c>
      <x:c r="B12" s="104" t="n">
        <x:f>Forecast!D17</x:f>
        <x:v>1.4732199999999998</x:v>
      </x:c>
      <x:c r="C12" s="104" t="n">
        <x:f>Forecast!D34</x:f>
        <x:v>1.7331999999999999</x:v>
      </x:c>
      <x:c r="D12" s="104" t="n">
        <x:f>Forecast!D51</x:f>
        <x:v>1.9931799999999997</x:v>
      </x:c>
    </x:row>
    <x:row r="13">
      <x:c r="A13" t="str">
        <x:v>2028 NOI margin</x:v>
      </x:c>
      <x:c r="B13" s="85" t="n">
        <x:v>0.72</x:v>
      </x:c>
      <x:c r="C13" s="85" t="n">
        <x:v>0.8</x:v>
      </x:c>
      <x:c r="D13" s="85" t="n">
        <x:v>0.84</x:v>
      </x:c>
    </x:row>
    <x:row r="14">
      <x:c r="A14" t="str">
        <x:v>2028 NOI ($bn)</x:v>
      </x:c>
      <x:c r="B14" s="92" t="n">
        <x:f>B12*B13</x:f>
        <x:v>1.0607183999999998</x:v>
      </x:c>
      <x:c r="C14" s="92" t="n">
        <x:f>C12*C13</x:f>
        <x:v>1.38656</x:v>
      </x:c>
      <x:c r="D14" s="92" t="n">
        <x:f>D12*D13</x:f>
        <x:v>1.6742711999999997</x:v>
      </x:c>
    </x:row>
    <x:row r="15">
      <x:c r="A15" t="str">
        <x:v>EV / NOI multiple</x:v>
      </x:c>
      <x:c r="B15" s="122" t="n">
        <x:v>12</x:v>
      </x:c>
      <x:c r="C15" s="122" t="n">
        <x:v>18</x:v>
      </x:c>
      <x:c r="D15" s="122" t="n">
        <x:v>23</x:v>
      </x:c>
    </x:row>
    <x:row r="16">
      <x:c r="A16" t="str">
        <x:v>2028 enterprise value ($bn)</x:v>
      </x:c>
      <x:c r="B16" s="92" t="n">
        <x:f>B14*B15</x:f>
        <x:v>12.728620799999998</x:v>
      </x:c>
      <x:c r="C16" s="92" t="n">
        <x:f>C14*C15</x:f>
        <x:v>24.95808</x:v>
      </x:c>
      <x:c r="D16" s="92" t="n">
        <x:f>D14*D15</x:f>
        <x:v>38.508237599999994</x:v>
      </x:c>
    </x:row>
    <x:row r="17">
      <x:c r="A17" t="str">
        <x:v>2028 projected net debt ($bn)</x:v>
      </x:c>
      <x:c r="B17" s="120" t="n">
        <x:v>7.5</x:v>
      </x:c>
      <x:c r="C17" s="120" t="n">
        <x:v>6</x:v>
      </x:c>
      <x:c r="D17" s="120" t="n">
        <x:v>5</x:v>
      </x:c>
    </x:row>
    <x:row r="18">
      <x:c r="A18" t="str">
        <x:v>2028 equity value ($bn)</x:v>
      </x:c>
      <x:c r="B18" s="92" t="n">
        <x:f>B16-B17</x:f>
        <x:v>5.228620799999998</x:v>
      </x:c>
      <x:c r="C18" s="92" t="n">
        <x:f>C16-C17</x:f>
        <x:v>18.95808</x:v>
      </x:c>
      <x:c r="D18" s="92" t="n">
        <x:f>D16-D17</x:f>
        <x:v>33.508237599999994</x:v>
      </x:c>
    </x:row>
    <x:row r="19">
      <x:c r="A19" t="str">
        <x:v>Discount rate</x:v>
      </x:c>
      <x:c r="B19" s="118" t="n">
        <x:v>0.14</x:v>
      </x:c>
      <x:c r="C19" s="118" t="n">
        <x:v>0.115</x:v>
      </x:c>
      <x:c r="D19" s="118" t="n">
        <x:v>0.1</x:v>
      </x:c>
    </x:row>
    <x:row r="20">
      <x:c r="A20" t="str">
        <x:v>PV factor (2.4 yrs)</x:v>
      </x:c>
      <x:c r="B20" s="92" t="n">
        <x:f>1/(1+B19)^2.4</x:f>
        <x:v>0.730177349536526</x:v>
      </x:c>
      <x:c r="C20" s="92" t="n">
        <x:f>1/(1+C19)^2.4</x:f>
        <x:v>0.7700879331265156</x:v>
      </x:c>
      <x:c r="D20" s="92" t="n">
        <x:f>1/(1+D19)^2.4</x:f>
        <x:v>0.795531820376998</x:v>
      </x:c>
    </x:row>
    <x:row r="21">
      <x:c r="A21" t="str">
        <x:v>PV equity value ($bn)</x:v>
      </x:c>
      <x:c r="B21" s="92" t="n">
        <x:f>B18*B20</x:f>
        <x:v>3.817820477475549</x:v>
      </x:c>
      <x:c r="C21" s="92" t="n">
        <x:f>C18*C20</x:f>
        <x:v>14.599388643247131</x:v>
      </x:c>
      <x:c r="D21" s="92" t="n">
        <x:f>D18*D20</x:f>
        <x:v>26.656869255552966</x:v>
      </x:c>
    </x:row>
    <x:row r="22">
      <x:c r="A22" t="str">
        <x:v>Pipeline option PV ($bn)</x:v>
      </x:c>
      <x:c r="B22" s="104" t="n">
        <x:f>Contracts!B30</x:f>
        <x:v>0.8259162079245097</x:v>
      </x:c>
      <x:c r="C22" s="104" t="n">
        <x:f>Contracts!C30</x:f>
        <x:v>4.212495123745509</x:v>
      </x:c>
      <x:c r="D22" s="104" t="n">
        <x:f>Contracts!D30</x:f>
        <x:v>16.09472641556108</x:v>
      </x:c>
    </x:row>
    <x:row r="23">
      <x:c r="A23" t="str">
        <x:v>Diluted shares (mm)</x:v>
      </x:c>
      <x:c r="B23" s="134" t="n">
        <x:v>650</x:v>
      </x:c>
      <x:c r="C23" s="134" t="n">
        <x:v>640</x:v>
      </x:c>
      <x:c r="D23" s="134" t="n">
        <x:v>655</x:v>
      </x:c>
    </x:row>
    <x:row r="24">
      <x:c r="A24" s="96" t="str">
        <x:v>Value / share</x:v>
      </x:c>
      <x:c r="B24" s="97" t="n">
        <x:f>(B21+B22)*1000/B23</x:f>
        <x:v>7.14421028523086</x:v>
      </x:c>
      <x:c r="C24" s="97" t="n">
        <x:f>(C21+C22)*1000/C23</x:f>
        <x:v>29.393568385926</x:v>
      </x:c>
      <x:c r="D24" s="97" t="n">
        <x:f>(D21+D22)*1000/D23</x:f>
        <x:v>65.26961171162449</x:v>
      </x:c>
    </x:row>
    <x:row r="27">
      <x:c r="A27" s="41" t="str">
        <x:v>2030 Exit EV / EBITDA Method</x:v>
      </x:c>
      <x:c r="B27" s="41" t="str">
        <x:v>2030 Exit EV / EBITDA Method</x:v>
      </x:c>
      <x:c r="C27" s="41" t="str">
        <x:v>2030 Exit EV / EBITDA Method</x:v>
      </x:c>
      <x:c r="D27" s="41" t="str">
        <x:v>2030 Exit EV / EBITDA Method</x:v>
      </x:c>
      <x:c r="E27" s="41" t="str">
        <x:v>2030 Exit EV / EBITDA Method</x:v>
      </x:c>
      <x:c r="F27" s="41" t="str">
        <x:v>2030 Exit EV / EBITDA Method</x:v>
      </x:c>
    </x:row>
    <x:row r="28">
      <x:c r="A28" s="19" t="str">
        <x:v>Metric</x:v>
      </x:c>
      <x:c r="B28" s="19" t="str">
        <x:v>Bear</x:v>
      </x:c>
      <x:c r="C28" s="19" t="str">
        <x:v>Base</x:v>
      </x:c>
      <x:c r="D28" s="19" t="str">
        <x:v>Bull</x:v>
      </x:c>
    </x:row>
    <x:row r="29">
      <x:c r="A29" t="str">
        <x:v>2030 revenue ($bn)</x:v>
      </x:c>
      <x:c r="B29" s="104" t="n">
        <x:f>Forecast!F17</x:f>
        <x:v>2.14256</x:v>
      </x:c>
      <x:c r="C29" s="104" t="n">
        <x:f>Forecast!F34</x:f>
        <x:v>2.6782</x:v>
      </x:c>
      <x:c r="D29" s="104" t="n">
        <x:f>Forecast!F51</x:f>
        <x:v>3.48166</x:v>
      </x:c>
    </x:row>
    <x:row r="30">
      <x:c r="A30" t="str">
        <x:v>2030 EBITDA margin</x:v>
      </x:c>
      <x:c r="B30" s="136" t="n">
        <x:f>Forecast!F19</x:f>
        <x:v>0.63</x:v>
      </x:c>
      <x:c r="C30" s="136" t="n">
        <x:f>Forecast!F36</x:f>
        <x:v>0.76</x:v>
      </x:c>
      <x:c r="D30" s="136" t="n">
        <x:f>Forecast!F53</x:f>
        <x:v>0.8</x:v>
      </x:c>
    </x:row>
    <x:row r="31">
      <x:c r="A31" t="str">
        <x:v>2030 EBITDA ($bn)</x:v>
      </x:c>
      <x:c r="B31" s="92" t="n">
        <x:f>B29*B30</x:f>
        <x:v>1.3498128</x:v>
      </x:c>
      <x:c r="C31" s="92" t="n">
        <x:f>C29*C30</x:f>
        <x:v>2.035432</x:v>
      </x:c>
      <x:c r="D31" s="92" t="n">
        <x:f>D29*D30</x:f>
        <x:v>2.7853280000000002</x:v>
      </x:c>
    </x:row>
    <x:row r="32">
      <x:c r="A32" t="str">
        <x:v>Exit EV / EBITDA</x:v>
      </x:c>
      <x:c r="B32" s="122" t="n">
        <x:v>13</x:v>
      </x:c>
      <x:c r="C32" s="122" t="n">
        <x:v>20</x:v>
      </x:c>
      <x:c r="D32" s="122" t="n">
        <x:v>25</x:v>
      </x:c>
    </x:row>
    <x:row r="33">
      <x:c r="A33" t="str">
        <x:v>2030 enterprise value ($bn)</x:v>
      </x:c>
      <x:c r="B33" s="92" t="n">
        <x:f>B31*B32</x:f>
        <x:v>17.5475664</x:v>
      </x:c>
      <x:c r="C33" s="92" t="n">
        <x:f>C31*C32</x:f>
        <x:v>40.70864</x:v>
      </x:c>
      <x:c r="D33" s="92" t="n">
        <x:f>D31*D32</x:f>
        <x:v>69.6332</x:v>
      </x:c>
    </x:row>
    <x:row r="34">
      <x:c r="A34" t="str">
        <x:v>2030 net debt ($bn)</x:v>
      </x:c>
      <x:c r="B34" s="120" t="n">
        <x:v>8</x:v>
      </x:c>
      <x:c r="C34" s="120" t="n">
        <x:v>6.5</x:v>
      </x:c>
      <x:c r="D34" s="120" t="n">
        <x:v>5.5</x:v>
      </x:c>
    </x:row>
    <x:row r="35">
      <x:c r="A35" t="str">
        <x:v>2030 equity value ($bn)</x:v>
      </x:c>
      <x:c r="B35" s="92" t="n">
        <x:f>B33-B34</x:f>
        <x:v>9.547566400000001</x:v>
      </x:c>
      <x:c r="C35" s="92" t="n">
        <x:f>C33-C34</x:f>
        <x:v>34.20864</x:v>
      </x:c>
      <x:c r="D35" s="92" t="n">
        <x:f>D33-D34</x:f>
        <x:v>64.1332</x:v>
      </x:c>
    </x:row>
    <x:row r="36">
      <x:c r="A36" t="str">
        <x:v>Discount rate</x:v>
      </x:c>
      <x:c r="B36" s="118" t="n">
        <x:v>0.14</x:v>
      </x:c>
      <x:c r="C36" s="118" t="n">
        <x:v>0.115</x:v>
      </x:c>
      <x:c r="D36" s="118" t="n">
        <x:v>0.1</x:v>
      </x:c>
    </x:row>
    <x:row r="37">
      <x:c r="A37" t="str">
        <x:v>PV factor (4.4 yrs)</x:v>
      </x:c>
      <x:c r="B37" s="92" t="n">
        <x:f>1/(1+B36)^4.4</x:f>
        <x:v>0.5618477604928638</x:v>
      </x:c>
      <x:c r="C37" s="92" t="n">
        <x:f>1/(1+C36)^4.4</x:f>
        <x:v>0.6194276443335</x:v>
      </x:c>
      <x:c r="D37" s="92" t="n">
        <x:f>1/(1+D36)^4.4</x:f>
        <x:v>0.6574643143611553</x:v>
      </x:c>
    </x:row>
    <x:row r="38">
      <x:c r="A38" t="str">
        <x:v>PV equity value ($bn)</x:v>
      </x:c>
      <x:c r="B38" s="92" t="n">
        <x:f>B35*B37</x:f>
        <x:v>5.364278799996915</x:v>
      </x:c>
      <x:c r="C38" s="92" t="n">
        <x:f>C35*C37</x:f>
        <x:v>21.189777291052742</x:v>
      </x:c>
      <x:c r="D38" s="92" t="n">
        <x:f>D35*D37</x:f>
        <x:v>42.165290365786845</x:v>
      </x:c>
    </x:row>
    <x:row r="39">
      <x:c r="A39" t="str">
        <x:v>Diluted shares (mm)</x:v>
      </x:c>
      <x:c r="B39" s="86" t="n">
        <x:v>675</x:v>
      </x:c>
      <x:c r="C39" s="86" t="n">
        <x:v>660</x:v>
      </x:c>
      <x:c r="D39" s="86" t="n">
        <x:v>680</x:v>
      </x:c>
    </x:row>
    <x:row r="40">
      <x:c r="A40" t="str">
        <x:v>Value / share</x:v>
      </x:c>
      <x:c r="B40" s="92" t="n">
        <x:f>B38*1000/B39</x:f>
        <x:v>7.947079703699133</x:v>
      </x:c>
      <x:c r="C40" s="92" t="n">
        <x:f>C38*1000/C39</x:f>
        <x:v>32.10572316826173</x:v>
      </x:c>
      <x:c r="D40" s="92" t="n">
        <x:f>D38*1000/D39</x:f>
        <x:v>62.00777994968654</x:v>
      </x:c>
    </x:row>
  </x:sheetData>
  <x:mergeCells>
    <x:mergeCell ref="A1:F1"/>
    <x:mergeCell ref="A2:F2"/>
    <x:mergeCell ref="A4:F4"/>
    <x:mergeCell ref="A10:F10"/>
    <x:mergeCell ref="A27:F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4" t="str">
        <x:v>Valuation Summary</x:v>
      </x:c>
      <x:c r="B1" s="4"/>
      <x:c r="C1" s="4"/>
      <x:c r="D1" s="4"/>
      <x:c r="E1" s="4"/>
    </x:row>
    <x:row r="2" ht="28" customHeight="1">
      <x:c r="A2" s="10" t="str">
        <x:v>Blended value weights contracted-asset SOTP most heavily because WULF is a project-financed infrastructure developer with long-duration lease economics.</x:v>
      </x:c>
      <x:c r="B2" s="10"/>
      <x:c r="C2" s="10"/>
      <x:c r="D2" s="10"/>
      <x:c r="E2" s="10"/>
    </x:row>
    <x:row r="4">
      <x:c r="A4" s="19" t="str">
        <x:v>Method</x:v>
      </x:c>
      <x:c r="B4" s="19" t="str">
        <x:v>Bear</x:v>
      </x:c>
      <x:c r="C4" s="19" t="str">
        <x:v>Base</x:v>
      </x:c>
      <x:c r="D4" s="19" t="str">
        <x:v>Bull</x:v>
      </x:c>
    </x:row>
    <x:row r="5">
      <x:c r="A5" t="str">
        <x:v>Contracted-asset SOTP</x:v>
      </x:c>
      <x:c r="B5" s="104" t="n">
        <x:f>SOTP!B16</x:f>
        <x:v>10.156018781422324</x:v>
      </x:c>
      <x:c r="C5" s="104" t="n">
        <x:f>SOTP!C16</x:f>
        <x:v>29.438429913109097</x:v>
      </x:c>
      <x:c r="D5" s="104" t="n">
        <x:f>SOTP!D16</x:f>
        <x:v>59.20503502431418</x:v>
      </x:c>
    </x:row>
    <x:row r="6">
      <x:c r="A6" t="str">
        <x:v>2028 Forward NOI</x:v>
      </x:c>
      <x:c r="B6" s="104" t="n">
        <x:f>Multiples!B24</x:f>
        <x:v>7.14421028523086</x:v>
      </x:c>
      <x:c r="C6" s="104" t="n">
        <x:f>Multiples!C24</x:f>
        <x:v>29.393568385926</x:v>
      </x:c>
      <x:c r="D6" s="104" t="n">
        <x:f>Multiples!D24</x:f>
        <x:v>65.26961171162449</x:v>
      </x:c>
    </x:row>
    <x:row r="7">
      <x:c r="A7" t="str">
        <x:v>2030 EV/EBITDA</x:v>
      </x:c>
      <x:c r="B7" s="104" t="n">
        <x:f>Multiples!B40</x:f>
        <x:v>7.947079703699133</x:v>
      </x:c>
      <x:c r="C7" s="104" t="n">
        <x:f>Multiples!C40</x:f>
        <x:v>32.10572316826173</x:v>
      </x:c>
      <x:c r="D7" s="104" t="n">
        <x:f>Multiples!D40</x:f>
        <x:v>62.00777994968654</x:v>
      </x:c>
    </x:row>
    <x:row r="8">
      <x:c r="A8" t="str">
        <x:v>DCF</x:v>
      </x:c>
      <x:c r="B8" s="104" t="n">
        <x:f>DCF!Q21</x:f>
        <x:v>0</x:v>
      </x:c>
      <x:c r="C8" s="104" t="n">
        <x:f>DCF!Q36</x:f>
        <x:v>7.428099499391014</x:v>
      </x:c>
      <x:c r="D8" s="104" t="n">
        <x:f>DCF!Q51</x:f>
        <x:v>45.60369787818888</x:v>
      </x:c>
    </x:row>
    <x:row r="9">
      <x:c r="A9" s="126" t="str">
        <x:v>Blended intrinsic value</x:v>
      </x:c>
      <x:c r="B9" s="127" t="n">
        <x:f>B5*B13+B6*B14+B7*B15+B8*B16</x:f>
        <x:v>8.056123917573746</x:v>
      </x:c>
      <x:c r="C9" s="127" t="n">
        <x:f>C5*C13+C6*C14+C7*C15+C8*C16</x:f>
        <x:v>27.62627547821441</x:v>
      </x:c>
      <x:c r="D9" s="127" t="n">
        <x:f>D5*D13+D6*D14+D7*D15+D8*D16</x:f>
        <x:v>59.78145722033507</x:v>
      </x:c>
    </x:row>
    <x:row r="12">
      <x:c r="A12" s="19" t="str">
        <x:v>Method weights</x:v>
      </x:c>
      <x:c r="B12" s="19" t="str">
        <x:v>Bear</x:v>
      </x:c>
      <x:c r="C12" s="19" t="str">
        <x:v>Base</x:v>
      </x:c>
      <x:c r="D12" s="19" t="str">
        <x:v>Bull</x:v>
      </x:c>
    </x:row>
    <x:row r="13">
      <x:c r="A13" t="str">
        <x:v>SOTP</x:v>
      </x:c>
      <x:c r="B13" s="85" t="n">
        <x:v>0.5</x:v>
      </x:c>
      <x:c r="C13" s="85" t="n">
        <x:v>0.5</x:v>
      </x:c>
      <x:c r="D13" s="85" t="n">
        <x:v>0.5</x:v>
      </x:c>
    </x:row>
    <x:row r="14">
      <x:c r="A14" t="str">
        <x:v>2028 Forward NOI</x:v>
      </x:c>
      <x:c r="B14" s="85" t="n">
        <x:v>0.25</x:v>
      </x:c>
      <x:c r="C14" s="85" t="n">
        <x:v>0.25</x:v>
      </x:c>
      <x:c r="D14" s="85" t="n">
        <x:v>0.25</x:v>
      </x:c>
    </x:row>
    <x:row r="15">
      <x:c r="A15" t="str">
        <x:v>2030 EV/EBITDA</x:v>
      </x:c>
      <x:c r="B15" s="85" t="n">
        <x:v>0.15</x:v>
      </x:c>
      <x:c r="C15" s="85" t="n">
        <x:v>0.15</x:v>
      </x:c>
      <x:c r="D15" s="85" t="n">
        <x:v>0.15</x:v>
      </x:c>
    </x:row>
    <x:row r="16">
      <x:c r="A16" t="str">
        <x:v>DCF</x:v>
      </x:c>
      <x:c r="B16" s="85" t="n">
        <x:v>0.1</x:v>
      </x:c>
      <x:c r="C16" s="85" t="n">
        <x:v>0.1</x:v>
      </x:c>
      <x:c r="D16" s="85" t="n">
        <x:v>0.1</x:v>
      </x:c>
    </x:row>
    <x:row r="19">
      <x:c r="A19" s="41" t="str">
        <x:v>Key Model Outputs</x:v>
      </x:c>
      <x:c r="B19" s="41" t="str">
        <x:v>Key Model Outputs</x:v>
      </x:c>
      <x:c r="C19" s="41" t="str">
        <x:v>Key Model Outputs</x:v>
      </x:c>
      <x:c r="D19" s="41" t="str">
        <x:v>Key Model Outputs</x:v>
      </x:c>
    </x:row>
    <x:row r="20">
      <x:c r="A20" s="19" t="str">
        <x:v>Metric</x:v>
      </x:c>
      <x:c r="B20" s="19" t="str">
        <x:v>Bear</x:v>
      </x:c>
      <x:c r="C20" s="19" t="str">
        <x:v>Base</x:v>
      </x:c>
      <x:c r="D20" s="19" t="str">
        <x:v>Bull</x:v>
      </x:c>
    </x:row>
    <x:row r="21">
      <x:c r="A21" t="str">
        <x:v>Contracted stabilized NOI ($bn)</x:v>
      </x:c>
      <x:c r="B21" s="104" t="n">
        <x:f>SOTP!B9</x:f>
        <x:v>1.323</x:v>
      </x:c>
      <x:c r="C21" s="104" t="n">
        <x:f>SOTP!C9</x:f>
        <x:v>1.4220000000000002</x:v>
      </x:c>
      <x:c r="D21" s="104" t="n">
        <x:f>SOTP!D9</x:f>
        <x:v>1.4695</x:v>
      </x:c>
    </x:row>
    <x:row r="22">
      <x:c r="A22" t="str">
        <x:v>Pipeline option PV ($bn)</x:v>
      </x:c>
      <x:c r="B22" s="104" t="n">
        <x:f>Contracts!B30</x:f>
        <x:v>0.8259162079245097</x:v>
      </x:c>
      <x:c r="C22" s="104" t="n">
        <x:f>Contracts!C30</x:f>
        <x:v>4.212495123745509</x:v>
      </x:c>
      <x:c r="D22" s="104" t="n">
        <x:f>Contracts!D30</x:f>
        <x:v>16.09472641556108</x:v>
      </x:c>
    </x:row>
    <x:row r="23">
      <x:c r="A23" t="str">
        <x:v>Projected stabilized net debt ($bn)</x:v>
      </x:c>
      <x:c r="B23" s="104" t="n">
        <x:f>SOTP!B13</x:f>
        <x:v>7.454504</x:v>
      </x:c>
      <x:c r="C23" s="104" t="n">
        <x:f>SOTP!C13</x:f>
        <x:v>5.654504</x:v>
      </x:c>
      <x:c r="D23" s="104" t="n">
        <x:f>SOTP!D13</x:f>
        <x:v>4.654504</x:v>
      </x:c>
    </x:row>
    <x:row r="24">
      <x:c r="A24" t="str">
        <x:v>2028 revenue ($bn)</x:v>
      </x:c>
      <x:c r="B24" s="104" t="n">
        <x:f>Forecast!D17</x:f>
        <x:v>1.4732199999999998</x:v>
      </x:c>
      <x:c r="C24" s="104" t="n">
        <x:f>Forecast!D34</x:f>
        <x:v>1.7331999999999999</x:v>
      </x:c>
      <x:c r="D24" s="104" t="n">
        <x:f>Forecast!D51</x:f>
        <x:v>1.9931799999999997</x:v>
      </x:c>
    </x:row>
    <x:row r="25">
      <x:c r="A25" t="str">
        <x:v>2030 revenue ($bn)</x:v>
      </x:c>
      <x:c r="B25" s="104" t="n">
        <x:f>Forecast!F17</x:f>
        <x:v>2.14256</x:v>
      </x:c>
      <x:c r="C25" s="104" t="n">
        <x:f>Forecast!F34</x:f>
        <x:v>2.6782</x:v>
      </x:c>
      <x:c r="D25" s="104" t="n">
        <x:f>Forecast!F51</x:f>
        <x:v>3.48166</x:v>
      </x:c>
    </x:row>
    <x:row r="26">
      <x:c r="A26" t="str">
        <x:v>2030 EBITDA margin</x:v>
      </x:c>
      <x:c r="B26" s="136" t="n">
        <x:f>Forecast!F19</x:f>
        <x:v>0.63</x:v>
      </x:c>
      <x:c r="C26" s="136" t="n">
        <x:f>Forecast!F36</x:f>
        <x:v>0.76</x:v>
      </x:c>
      <x:c r="D26" s="136" t="n">
        <x:f>Forecast!F53</x:f>
        <x:v>0.8</x:v>
      </x:c>
    </x:row>
  </x:sheetData>
  <x:mergeCells>
    <x:mergeCell ref="A1:E1"/>
    <x:mergeCell ref="A2:E2"/>
    <x:mergeCell ref="A19:D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Base-Case Sensitivity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The two biggest swing factors are the value placed on stabilized contracted NOI and the amount of net debt / cash burn required to complete contracted capacity.</x:v>
      </x:c>
      <x:c r="B2" s="10"/>
      <x:c r="C2" s="10"/>
      <x:c r="D2" s="10"/>
      <x:c r="E2" s="10"/>
      <x:c r="F2" s="10"/>
      <x:c r="G2" s="10"/>
      <x:c r="H2" s="10"/>
    </x:row>
    <x:row r="4">
      <x:c r="A4" s="41" t="str">
        <x:v>SOTP Value / Share — NOI Multiple vs Projected Stabilized Net Debt</x:v>
      </x:c>
      <x:c r="B4" s="41" t="str">
        <x:v>SOTP Value / Share — NOI Multiple vs Projected Stabilized Net Debt</x:v>
      </x:c>
      <x:c r="C4" s="41" t="str">
        <x:v>SOTP Value / Share — NOI Multiple vs Projected Stabilized Net Debt</x:v>
      </x:c>
      <x:c r="D4" s="41" t="str">
        <x:v>SOTP Value / Share — NOI Multiple vs Projected Stabilized Net Debt</x:v>
      </x:c>
      <x:c r="E4" s="41" t="str">
        <x:v>SOTP Value / Share — NOI Multiple vs Projected Stabilized Net Debt</x:v>
      </x:c>
      <x:c r="F4" s="41" t="str">
        <x:v>SOTP Value / Share — NOI Multiple vs Projected Stabilized Net Debt</x:v>
      </x:c>
      <x:c r="G4" s="41" t="str">
        <x:v>SOTP Value / Share — NOI Multiple vs Projected Stabilized Net Debt</x:v>
      </x:c>
      <x:c r="H4" s="41" t="str">
        <x:v>SOTP Value / Share — NOI Multiple vs Projected Stabilized Net Debt</x:v>
      </x:c>
    </x:row>
    <x:row r="5">
      <x:c r="B5" s="79" t="n">
        <x:v>10</x:v>
      </x:c>
      <x:c r="C5" s="79" t="n">
        <x:v>12</x:v>
      </x:c>
      <x:c r="D5" s="79" t="n">
        <x:v>14</x:v>
      </x:c>
      <x:c r="E5" s="79" t="n">
        <x:v>16</x:v>
      </x:c>
      <x:c r="F5" s="79" t="n">
        <x:v>18</x:v>
      </x:c>
      <x:c r="G5" s="79" t="n">
        <x:v>20</x:v>
      </x:c>
    </x:row>
    <x:row r="6">
      <x:c r="A6" s="53" t="n">
        <x:v>3.5</x:v>
      </x:c>
      <x:c r="B6" s="104" t="n">
        <x:f>((SOTP!$C$9*B$5)+Contracts!$C$30-$A6)*1000/CapitalStructure!$C$21</x:f>
        <x:v>23.80534075763503</x:v>
      </x:c>
      <x:c r="C6" s="104" t="n">
        <x:f>((SOTP!$C$9*C$5)+Contracts!$C$30-$A6)*1000/CapitalStructure!$C$21</x:f>
        <x:v>28.339237373951633</x:v>
      </x:c>
      <x:c r="D6" s="104" t="n">
        <x:f>((SOTP!$C$9*D$5)+Contracts!$C$30-$A6)*1000/CapitalStructure!$C$21</x:f>
        <x:v>32.873133990268244</x:v>
      </x:c>
      <x:c r="E6" s="104" t="n">
        <x:f>((SOTP!$C$9*E$5)+Contracts!$C$30-$A6)*1000/CapitalStructure!$C$21</x:f>
        <x:v>37.40703060658485</x:v>
      </x:c>
      <x:c r="F6" s="104" t="n">
        <x:f>((SOTP!$C$9*F$5)+Contracts!$C$30-$A6)*1000/CapitalStructure!$C$21</x:f>
        <x:v>41.940927222901465</x:v>
      </x:c>
      <x:c r="G6" s="104" t="n">
        <x:f>((SOTP!$C$9*G$5)+Contracts!$C$30-$A6)*1000/CapitalStructure!$C$21</x:f>
        <x:v>46.47482383921806</x:v>
      </x:c>
    </x:row>
    <x:row r="7">
      <x:c r="A7" s="53" t="n">
        <x:v>4.5</x:v>
      </x:c>
      <x:c r="B7" s="104" t="n">
        <x:f>((SOTP!$C$9*B$5)+Contracts!$C$30-$A7)*1000/CapitalStructure!$C$21</x:f>
        <x:v>22.211143635160834</x:v>
      </x:c>
      <x:c r="C7" s="104" t="n">
        <x:f>((SOTP!$C$9*C$5)+Contracts!$C$30-$A7)*1000/CapitalStructure!$C$21</x:f>
        <x:v>26.745040251477437</x:v>
      </x:c>
      <x:c r="D7" s="104" t="n">
        <x:f>((SOTP!$C$9*D$5)+Contracts!$C$30-$A7)*1000/CapitalStructure!$C$21</x:f>
        <x:v>31.278936867794048</x:v>
      </x:c>
      <x:c r="E7" s="104" t="n">
        <x:f>((SOTP!$C$9*E$5)+Contracts!$C$30-$A7)*1000/CapitalStructure!$C$21</x:f>
        <x:v>35.812833484110655</x:v>
      </x:c>
      <x:c r="F7" s="104" t="n">
        <x:f>((SOTP!$C$9*F$5)+Contracts!$C$30-$A7)*1000/CapitalStructure!$C$21</x:f>
        <x:v>40.346730100427266</x:v>
      </x:c>
      <x:c r="G7" s="104" t="n">
        <x:f>((SOTP!$C$9*G$5)+Contracts!$C$30-$A7)*1000/CapitalStructure!$C$21</x:f>
        <x:v>44.88062671674387</x:v>
      </x:c>
    </x:row>
    <x:row r="8">
      <x:c r="A8" s="53" t="n">
        <x:v>5.5</x:v>
      </x:c>
      <x:c r="B8" s="104" t="n">
        <x:f>((SOTP!$C$9*B$5)+Contracts!$C$30-$A8)*1000/CapitalStructure!$C$21</x:f>
        <x:v>20.61694651268664</x:v>
      </x:c>
      <x:c r="C8" s="104" t="n">
        <x:f>((SOTP!$C$9*C$5)+Contracts!$C$30-$A8)*1000/CapitalStructure!$C$21</x:f>
        <x:v>25.150843129003242</x:v>
      </x:c>
      <x:c r="D8" s="104" t="n">
        <x:f>((SOTP!$C$9*D$5)+Contracts!$C$30-$A8)*1000/CapitalStructure!$C$21</x:f>
        <x:v>29.684739745319852</x:v>
      </x:c>
      <x:c r="E8" s="104" t="n">
        <x:f>((SOTP!$C$9*E$5)+Contracts!$C$30-$A8)*1000/CapitalStructure!$C$21</x:f>
        <x:v>34.21863636163646</x:v>
      </x:c>
      <x:c r="F8" s="104" t="n">
        <x:f>((SOTP!$C$9*F$5)+Contracts!$C$30-$A8)*1000/CapitalStructure!$C$21</x:f>
        <x:v>38.752532977953074</x:v>
      </x:c>
      <x:c r="G8" s="104" t="n">
        <x:f>((SOTP!$C$9*G$5)+Contracts!$C$30-$A8)*1000/CapitalStructure!$C$21</x:f>
        <x:v>43.28642959426968</x:v>
      </x:c>
    </x:row>
    <x:row r="9">
      <x:c r="A9" s="53" t="n">
        <x:v>6.5</x:v>
      </x:c>
      <x:c r="B9" s="104" t="n">
        <x:f>((SOTP!$C$9*B$5)+Contracts!$C$30-$A9)*1000/CapitalStructure!$C$21</x:f>
        <x:v>19.022749390212446</x:v>
      </x:c>
      <x:c r="C9" s="104" t="n">
        <x:f>((SOTP!$C$9*C$5)+Contracts!$C$30-$A9)*1000/CapitalStructure!$C$21</x:f>
        <x:v>23.556646006529046</x:v>
      </x:c>
      <x:c r="D9" s="104" t="n">
        <x:f>((SOTP!$C$9*D$5)+Contracts!$C$30-$A9)*1000/CapitalStructure!$C$21</x:f>
        <x:v>28.090542622845657</x:v>
      </x:c>
      <x:c r="E9" s="104" t="n">
        <x:f>((SOTP!$C$9*E$5)+Contracts!$C$30-$A9)*1000/CapitalStructure!$C$21</x:f>
        <x:v>32.624439239162264</x:v>
      </x:c>
      <x:c r="F9" s="104" t="n">
        <x:f>((SOTP!$C$9*F$5)+Contracts!$C$30-$A9)*1000/CapitalStructure!$C$21</x:f>
        <x:v>37.15833585547888</x:v>
      </x:c>
      <x:c r="G9" s="104" t="n">
        <x:f>((SOTP!$C$9*G$5)+Contracts!$C$30-$A9)*1000/CapitalStructure!$C$21</x:f>
        <x:v>41.692232471795485</x:v>
      </x:c>
    </x:row>
    <x:row r="10">
      <x:c r="A10" s="53" t="n">
        <x:v>7.5</x:v>
      </x:c>
      <x:c r="B10" s="104" t="n">
        <x:f>((SOTP!$C$9*B$5)+Contracts!$C$30-$A10)*1000/CapitalStructure!$C$21</x:f>
        <x:v>17.42855226773825</x:v>
      </x:c>
      <x:c r="C10" s="104" t="n">
        <x:f>((SOTP!$C$9*C$5)+Contracts!$C$30-$A10)*1000/CapitalStructure!$C$21</x:f>
        <x:v>21.962448884054854</x:v>
      </x:c>
      <x:c r="D10" s="104" t="n">
        <x:f>((SOTP!$C$9*D$5)+Contracts!$C$30-$A10)*1000/CapitalStructure!$C$21</x:f>
        <x:v>26.496345500371465</x:v>
      </x:c>
      <x:c r="E10" s="104" t="n">
        <x:f>((SOTP!$C$9*E$5)+Contracts!$C$30-$A10)*1000/CapitalStructure!$C$21</x:f>
        <x:v>31.030242116688072</x:v>
      </x:c>
      <x:c r="F10" s="104" t="n">
        <x:f>((SOTP!$C$9*F$5)+Contracts!$C$30-$A10)*1000/CapitalStructure!$C$21</x:f>
        <x:v>35.56413873300468</x:v>
      </x:c>
      <x:c r="G10" s="104" t="n">
        <x:f>((SOTP!$C$9*G$5)+Contracts!$C$30-$A10)*1000/CapitalStructure!$C$21</x:f>
        <x:v>40.098035349321286</x:v>
      </x:c>
    </x:row>
    <x:row r="11">
      <x:c r="A11" s="53" t="n">
        <x:v>8.5</x:v>
      </x:c>
      <x:c r="B11" s="104" t="n">
        <x:f>((SOTP!$C$9*B$5)+Contracts!$C$30-$A11)*1000/CapitalStructure!$C$21</x:f>
        <x:v>15.834355145264057</x:v>
      </x:c>
      <x:c r="C11" s="104" t="n">
        <x:f>((SOTP!$C$9*C$5)+Contracts!$C$30-$A11)*1000/CapitalStructure!$C$21</x:f>
        <x:v>20.36825176158066</x:v>
      </x:c>
      <x:c r="D11" s="104" t="n">
        <x:f>((SOTP!$C$9*D$5)+Contracts!$C$30-$A11)*1000/CapitalStructure!$C$21</x:f>
        <x:v>24.90214837789727</x:v>
      </x:c>
      <x:c r="E11" s="104" t="n">
        <x:f>((SOTP!$C$9*E$5)+Contracts!$C$30-$A11)*1000/CapitalStructure!$C$21</x:f>
        <x:v>29.436044994213876</x:v>
      </x:c>
      <x:c r="F11" s="104" t="n">
        <x:f>((SOTP!$C$9*F$5)+Contracts!$C$30-$A11)*1000/CapitalStructure!$C$21</x:f>
        <x:v>33.96994161053049</x:v>
      </x:c>
      <x:c r="G11" s="104" t="n">
        <x:f>((SOTP!$C$9*G$5)+Contracts!$C$30-$A11)*1000/CapitalStructure!$C$21</x:f>
        <x:v>38.503838226847094</x:v>
      </x:c>
    </x:row>
    <x:row r="14">
      <x:c r="A14" s="41" t="str">
        <x:v>Anthropic Economics — NOI Margin vs Contracted NOI Multiple</x:v>
      </x:c>
      <x:c r="B14" s="41" t="str">
        <x:v>Anthropic Economics — NOI Margin vs Contracted NOI Multiple</x:v>
      </x:c>
      <x:c r="C14" s="41" t="str">
        <x:v>Anthropic Economics — NOI Margin vs Contracted NOI Multiple</x:v>
      </x:c>
      <x:c r="D14" s="41" t="str">
        <x:v>Anthropic Economics — NOI Margin vs Contracted NOI Multiple</x:v>
      </x:c>
      <x:c r="E14" s="41" t="str">
        <x:v>Anthropic Economics — NOI Margin vs Contracted NOI Multiple</x:v>
      </x:c>
      <x:c r="F14" s="41" t="str">
        <x:v>Anthropic Economics — NOI Margin vs Contracted NOI Multiple</x:v>
      </x:c>
      <x:c r="G14" s="41" t="str">
        <x:v>Anthropic Economics — NOI Margin vs Contracted NOI Multiple</x:v>
      </x:c>
      <x:c r="H14" s="41" t="str">
        <x:v>Anthropic Economics — NOI Margin vs Contracted NOI Multiple</x:v>
      </x:c>
    </x:row>
    <x:row r="15">
      <x:c r="B15" s="55" t="n">
        <x:v>0.65</x:v>
      </x:c>
      <x:c r="C15" s="55" t="n">
        <x:v>0.7</x:v>
      </x:c>
      <x:c r="D15" s="55" t="n">
        <x:v>0.75</x:v>
      </x:c>
      <x:c r="E15" s="55" t="n">
        <x:v>0.8</x:v>
      </x:c>
      <x:c r="F15" s="55" t="n">
        <x:v>0.85</x:v>
      </x:c>
      <x:c r="G15" s="55" t="n">
        <x:v>0.9</x:v>
      </x:c>
    </x:row>
    <x:row r="16">
      <x:c r="A16" s="79" t="n">
        <x:v>10</x:v>
      </x:c>
      <x:c r="B16" s="104" t="n">
        <x:f>((SOTP!$C$5+SOTP!$C$6*B$15)*$A16+Contracts!$C$30-SOTP!$C$13)*1000/SOTP!$C$15</x:f>
        <x:v>18.098905780950158</x:v>
      </x:c>
      <x:c r="C16" s="104" t="n">
        <x:f>((SOTP!$C$5+SOTP!$C$6*C$15)*$A16+Contracts!$C$30-SOTP!$C$13)*1000/SOTP!$C$15</x:f>
        <x:v>18.856149414125397</x:v>
      </x:c>
      <x:c r="D16" s="104" t="n">
        <x:f>((SOTP!$C$5+SOTP!$C$6*D$15)*$A16+Contracts!$C$30-SOTP!$C$13)*1000/SOTP!$C$15</x:f>
        <x:v>19.613393047300637</x:v>
      </x:c>
      <x:c r="E16" s="104" t="n">
        <x:f>((SOTP!$C$5+SOTP!$C$6*E$15)*$A16+Contracts!$C$30-SOTP!$C$13)*1000/SOTP!$C$15</x:f>
        <x:v>20.37063668047589</x:v>
      </x:c>
      <x:c r="F16" s="104" t="n">
        <x:f>((SOTP!$C$5+SOTP!$C$6*F$15)*$A16+Contracts!$C$30-SOTP!$C$13)*1000/SOTP!$C$15</x:f>
        <x:v>21.127880313651126</x:v>
      </x:c>
      <x:c r="G16" s="104" t="n">
        <x:f>((SOTP!$C$5+SOTP!$C$6*G$15)*$A16+Contracts!$C$30-SOTP!$C$13)*1000/SOTP!$C$15</x:f>
        <x:v>21.885123946826365</x:v>
      </x:c>
    </x:row>
    <x:row r="17">
      <x:c r="A17" s="79" t="n">
        <x:v>12</x:v>
      </x:c>
      <x:c r="B17" s="104" t="n">
        <x:f>((SOTP!$C$5+SOTP!$C$6*B$15)*$A17+Contracts!$C$30-SOTP!$C$13)*1000/SOTP!$C$15</x:f>
        <x:v>22.178456217361624</x:v>
      </x:c>
      <x:c r="C17" s="104" t="n">
        <x:f>((SOTP!$C$5+SOTP!$C$6*C$15)*$A17+Contracts!$C$30-SOTP!$C$13)*1000/SOTP!$C$15</x:f>
        <x:v>23.08714857717191</x:v>
      </x:c>
      <x:c r="D17" s="104" t="n">
        <x:f>((SOTP!$C$5+SOTP!$C$6*D$15)*$A17+Contracts!$C$30-SOTP!$C$13)*1000/SOTP!$C$15</x:f>
        <x:v>23.9958409369822</x:v>
      </x:c>
      <x:c r="E17" s="104" t="n">
        <x:f>((SOTP!$C$5+SOTP!$C$6*E$15)*$A17+Contracts!$C$30-SOTP!$C$13)*1000/SOTP!$C$15</x:f>
        <x:v>24.90453329679249</x:v>
      </x:c>
      <x:c r="F17" s="104" t="n">
        <x:f>((SOTP!$C$5+SOTP!$C$6*F$15)*$A17+Contracts!$C$30-SOTP!$C$13)*1000/SOTP!$C$15</x:f>
        <x:v>25.813225656602782</x:v>
      </x:c>
      <x:c r="G17" s="104" t="n">
        <x:f>((SOTP!$C$5+SOTP!$C$6*G$15)*$A17+Contracts!$C$30-SOTP!$C$13)*1000/SOTP!$C$15</x:f>
        <x:v>26.72191801641307</x:v>
      </x:c>
    </x:row>
    <x:row r="18">
      <x:c r="A18" s="79" t="n">
        <x:v>14</x:v>
      </x:c>
      <x:c r="B18" s="104" t="n">
        <x:f>((SOTP!$C$5+SOTP!$C$6*B$15)*$A18+Contracts!$C$30-SOTP!$C$13)*1000/SOTP!$C$15</x:f>
        <x:v>26.25800665377308</x:v>
      </x:c>
      <x:c r="C18" s="104" t="n">
        <x:f>((SOTP!$C$5+SOTP!$C$6*C$15)*$A18+Contracts!$C$30-SOTP!$C$13)*1000/SOTP!$C$15</x:f>
        <x:v>27.31814774021842</x:v>
      </x:c>
      <x:c r="D18" s="104" t="n">
        <x:f>((SOTP!$C$5+SOTP!$C$6*D$15)*$A18+Contracts!$C$30-SOTP!$C$13)*1000/SOTP!$C$15</x:f>
        <x:v>28.37828882666376</x:v>
      </x:c>
      <x:c r="E18" s="104" t="n">
        <x:f>((SOTP!$C$5+SOTP!$C$6*E$15)*$A18+Contracts!$C$30-SOTP!$C$13)*1000/SOTP!$C$15</x:f>
        <x:v>29.438429913109097</x:v>
      </x:c>
      <x:c r="F18" s="104" t="n">
        <x:f>((SOTP!$C$5+SOTP!$C$6*F$15)*$A18+Contracts!$C$30-SOTP!$C$13)*1000/SOTP!$C$15</x:f>
        <x:v>30.49857099955444</x:v>
      </x:c>
      <x:c r="G18" s="104" t="n">
        <x:f>((SOTP!$C$5+SOTP!$C$6*G$15)*$A18+Contracts!$C$30-SOTP!$C$13)*1000/SOTP!$C$15</x:f>
        <x:v>31.558712085999776</x:v>
      </x:c>
    </x:row>
    <x:row r="19">
      <x:c r="A19" s="79" t="n">
        <x:v>16</x:v>
      </x:c>
      <x:c r="B19" s="104" t="n">
        <x:f>((SOTP!$C$5+SOTP!$C$6*B$15)*$A19+Contracts!$C$30-SOTP!$C$13)*1000/SOTP!$C$15</x:f>
        <x:v>30.337557090184543</x:v>
      </x:c>
      <x:c r="C19" s="104" t="n">
        <x:f>((SOTP!$C$5+SOTP!$C$6*C$15)*$A19+Contracts!$C$30-SOTP!$C$13)*1000/SOTP!$C$15</x:f>
        <x:v>31.54914690326493</x:v>
      </x:c>
      <x:c r="D19" s="104" t="n">
        <x:f>((SOTP!$C$5+SOTP!$C$6*D$15)*$A19+Contracts!$C$30-SOTP!$C$13)*1000/SOTP!$C$15</x:f>
        <x:v>32.76073671634531</x:v>
      </x:c>
      <x:c r="E19" s="104" t="n">
        <x:f>((SOTP!$C$5+SOTP!$C$6*E$15)*$A19+Contracts!$C$30-SOTP!$C$13)*1000/SOTP!$C$15</x:f>
        <x:v>33.972326529425715</x:v>
      </x:c>
      <x:c r="F19" s="104" t="n">
        <x:f>((SOTP!$C$5+SOTP!$C$6*F$15)*$A19+Contracts!$C$30-SOTP!$C$13)*1000/SOTP!$C$15</x:f>
        <x:v>35.183916342506095</x:v>
      </x:c>
      <x:c r="G19" s="104" t="n">
        <x:f>((SOTP!$C$5+SOTP!$C$6*G$15)*$A19+Contracts!$C$30-SOTP!$C$13)*1000/SOTP!$C$15</x:f>
        <x:v>36.39550615558648</x:v>
      </x:c>
    </x:row>
    <x:row r="20">
      <x:c r="A20" s="79" t="n">
        <x:v>18</x:v>
      </x:c>
      <x:c r="B20" s="104" t="n">
        <x:f>((SOTP!$C$5+SOTP!$C$6*B$15)*$A20+Contracts!$C$30-SOTP!$C$13)*1000/SOTP!$C$15</x:f>
        <x:v>34.41710752659601</x:v>
      </x:c>
      <x:c r="C20" s="104" t="n">
        <x:f>((SOTP!$C$5+SOTP!$C$6*C$15)*$A20+Contracts!$C$30-SOTP!$C$13)*1000/SOTP!$C$15</x:f>
        <x:v>35.780146066311445</x:v>
      </x:c>
      <x:c r="D20" s="104" t="n">
        <x:f>((SOTP!$C$5+SOTP!$C$6*D$15)*$A20+Contracts!$C$30-SOTP!$C$13)*1000/SOTP!$C$15</x:f>
        <x:v>37.14318460602687</x:v>
      </x:c>
      <x:c r="E20" s="104" t="n">
        <x:f>((SOTP!$C$5+SOTP!$C$6*E$15)*$A20+Contracts!$C$30-SOTP!$C$13)*1000/SOTP!$C$15</x:f>
        <x:v>38.50622314574232</x:v>
      </x:c>
      <x:c r="F20" s="104" t="n">
        <x:f>((SOTP!$C$5+SOTP!$C$6*F$15)*$A20+Contracts!$C$30-SOTP!$C$13)*1000/SOTP!$C$15</x:f>
        <x:v>39.86926168545775</x:v>
      </x:c>
      <x:c r="G20" s="104" t="n">
        <x:f>((SOTP!$C$5+SOTP!$C$6*G$15)*$A20+Contracts!$C$30-SOTP!$C$13)*1000/SOTP!$C$15</x:f>
        <x:v>41.23230022517318</x:v>
      </x:c>
    </x:row>
  </x:sheetData>
  <x:mergeCells>
    <x:mergeCell ref="A1:H1"/>
    <x:mergeCell ref="A2:H2"/>
    <x:mergeCell ref="A4:H4"/>
    <x:mergeCell ref="A14:H14"/>
  </x:mergeCells>
  <x:conditionalFormatting sqref="B6:G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16:G20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7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WULF — Full Valuation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8" customHeight="1">
      <x:c r="A2" s="10" t="str">
        <x:v>Model date: 7 Aug 2026. Latest reported quarter: Q2 2026 (5 Aug). Valuation emphasizes long-duration contracted HPC infrastructure, funding requirements and dilution.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39" t="str">
        <x:v>Base intrinsic value</x:v>
      </x:c>
      <x:c r="B4" s="139"/>
      <x:c r="C4" s="139"/>
      <x:c r="E4" s="139" t="str">
        <x:v>Bear value</x:v>
      </x:c>
      <x:c r="F4" s="139"/>
      <x:c r="G4" s="139"/>
      <x:c r="I4" s="139" t="str">
        <x:v>Bull value</x:v>
      </x:c>
      <x:c r="J4" s="139"/>
      <x:c r="K4" s="139"/>
    </x:row>
    <x:row r="5">
      <x:c r="A5" s="180" t="n">
        <x:f>Valuation!C9</x:f>
        <x:v>27.62627547821441</x:v>
      </x:c>
      <x:c r="B5" s="156"/>
      <x:c r="C5" s="157"/>
      <x:c r="E5" s="180" t="n">
        <x:f>Valuation!B9</x:f>
        <x:v>8.056123917573746</x:v>
      </x:c>
      <x:c r="F5" s="156"/>
      <x:c r="G5" s="157"/>
      <x:c r="I5" s="180" t="n">
        <x:f>Valuation!D9</x:f>
        <x:v>59.78145722033507</x:v>
      </x:c>
      <x:c r="J5" s="156"/>
      <x:c r="K5" s="157"/>
    </x:row>
    <x:row r="6">
      <x:c r="A6" s="158"/>
      <x:c r="B6" s="159"/>
      <x:c r="C6" s="160"/>
      <x:c r="E6" s="158"/>
      <x:c r="F6" s="159"/>
      <x:c r="G6" s="160"/>
      <x:c r="I6" s="158"/>
      <x:c r="J6" s="159"/>
      <x:c r="K6" s="160"/>
    </x:row>
    <x:row r="8">
      <x:c r="A8" s="139" t="str">
        <x:v>Q2 revenue</x:v>
      </x:c>
      <x:c r="B8" s="139"/>
      <x:c r="C8" s="139"/>
      <x:c r="E8" s="139" t="str">
        <x:v>Q2 HPC mix</x:v>
      </x:c>
      <x:c r="F8" s="139"/>
      <x:c r="G8" s="139"/>
      <x:c r="I8" s="139" t="str">
        <x:v>HPC capacity online</x:v>
      </x:c>
      <x:c r="J8" s="139"/>
      <x:c r="K8" s="139"/>
    </x:row>
    <x:row r="9">
      <x:c r="A9" s="228" t="n">
        <x:f>Historical!D7</x:f>
        <x:v>44.767</x:v>
      </x:c>
      <x:c r="B9" s="156"/>
      <x:c r="C9" s="157"/>
      <x:c r="E9" s="182" t="n">
        <x:f>Historical!D6/Historical!D7</x:f>
        <x:v>0.7132932740634842</x:v>
      </x:c>
      <x:c r="F9" s="156"/>
      <x:c r="G9" s="157"/>
      <x:c r="I9" s="196" t="str">
        <x:v>102 MW</x:v>
      </x:c>
      <x:c r="J9" s="197"/>
      <x:c r="K9" s="198"/>
    </x:row>
    <x:row r="10">
      <x:c r="A10" s="158"/>
      <x:c r="B10" s="159"/>
      <x:c r="C10" s="160"/>
      <x:c r="E10" s="158"/>
      <x:c r="F10" s="159"/>
      <x:c r="G10" s="160"/>
      <x:c r="I10" s="199"/>
      <x:c r="J10" s="200"/>
      <x:c r="K10" s="201"/>
    </x:row>
    <x:row r="12">
      <x:c r="A12" s="139" t="str">
        <x:v>Cash + restricted</x:v>
      </x:c>
      <x:c r="B12" s="139"/>
      <x:c r="C12" s="139"/>
      <x:c r="E12" s="139" t="str">
        <x:v>Current net debt</x:v>
      </x:c>
      <x:c r="F12" s="139"/>
      <x:c r="G12" s="139"/>
      <x:c r="I12" s="139" t="str">
        <x:v>Core diluted shares</x:v>
      </x:c>
      <x:c r="J12" s="139"/>
      <x:c r="K12" s="139"/>
    </x:row>
    <x:row r="13">
      <x:c r="A13" s="180" t="n">
        <x:f>CapitalStructure!B5</x:f>
        <x:v>3.0286079999999997</x:v>
      </x:c>
      <x:c r="B13" s="156"/>
      <x:c r="C13" s="157"/>
      <x:c r="E13" s="180" t="n">
        <x:f>CapitalStructure!B7</x:f>
        <x:v>2.184504</x:v>
      </x:c>
      <x:c r="F13" s="156"/>
      <x:c r="G13" s="157"/>
      <x:c r="I13" s="220" t="n">
        <x:f>CapitalStructure!B13</x:f>
        <x:v>627.2753359999999</x:v>
      </x:c>
      <x:c r="J13" s="156"/>
      <x:c r="K13" s="157"/>
    </x:row>
    <x:row r="14">
      <x:c r="A14" s="158"/>
      <x:c r="B14" s="159"/>
      <x:c r="C14" s="160"/>
      <x:c r="E14" s="158"/>
      <x:c r="F14" s="159"/>
      <x:c r="G14" s="160"/>
      <x:c r="I14" s="158"/>
      <x:c r="J14" s="159"/>
      <x:c r="K14" s="160"/>
    </x:row>
    <x:row r="16">
      <x:c r="A16" s="41" t="str">
        <x:v>Valuation Methods</x:v>
      </x:c>
      <x:c r="B16" s="41" t="str">
        <x:v>Valuation Methods</x:v>
      </x:c>
      <x:c r="C16" s="41" t="str">
        <x:v>Valuation Methods</x:v>
      </x:c>
      <x:c r="D16" s="41" t="str">
        <x:v>Valuation Methods</x:v>
      </x:c>
      <x:c r="E16" s="41" t="str">
        <x:v>Valuation Methods</x:v>
      </x:c>
      <x:c r="F16" s="41" t="str">
        <x:v>Valuation Methods</x:v>
      </x:c>
      <x:c r="G16" s="41" t="str">
        <x:v>Valuation Methods</x:v>
      </x:c>
      <x:c r="H16" s="41" t="str">
        <x:v>Valuation Methods</x:v>
      </x:c>
      <x:c r="I16" s="41" t="str">
        <x:v>Valuation Methods</x:v>
      </x:c>
      <x:c r="J16" s="41" t="str">
        <x:v>Valuation Methods</x:v>
      </x:c>
      <x:c r="K16" s="41" t="str">
        <x:v>Valuation Methods</x:v>
      </x:c>
      <x:c r="L16" s="41" t="str">
        <x:v>Valuation Methods</x:v>
      </x:c>
      <x:c r="M16" s="41" t="str">
        <x:v>Valuation Methods</x:v>
      </x:c>
      <x:c r="N16" s="41" t="str">
        <x:v>Valuation Methods</x:v>
      </x:c>
    </x:row>
    <x:row r="17">
      <x:c r="A17" s="19" t="str">
        <x:v>Method</x:v>
      </x:c>
      <x:c r="B17" s="19" t="str">
        <x:v>Bear</x:v>
      </x:c>
      <x:c r="C17" s="19" t="str">
        <x:v>Base</x:v>
      </x:c>
      <x:c r="D17" s="19" t="str">
        <x:v>Bull</x:v>
      </x:c>
      <x:c r="F17" t="str">
        <x:v>2026E</x:v>
      </x:c>
      <x:c r="G17" t="str">
        <x:v>2027E</x:v>
      </x:c>
      <x:c r="H17" t="str">
        <x:v>2028E</x:v>
      </x:c>
      <x:c r="I17" t="str">
        <x:v>2029E</x:v>
      </x:c>
      <x:c r="J17" t="str">
        <x:v>2030E</x:v>
      </x:c>
      <x:c r="K17" t="str">
        <x:v>2031E</x:v>
      </x:c>
      <x:c r="L17" t="str">
        <x:v>2032E</x:v>
      </x:c>
      <x:c r="M17" t="str">
        <x:v>2033E</x:v>
      </x:c>
      <x:c r="N17" t="str">
        <x:v>2034E</x:v>
      </x:c>
      <x:c r="O17" t="str">
        <x:v>2035E</x:v>
      </x:c>
    </x:row>
    <x:row r="18">
      <x:c r="A18" t="str">
        <x:v>Contracted SOTP</x:v>
      </x:c>
      <x:c r="B18" s="104" t="n">
        <x:f>Valuation!B5</x:f>
        <x:v>10.156018781422324</x:v>
      </x:c>
      <x:c r="C18" s="104" t="n">
        <x:f>Valuation!C5</x:f>
        <x:v>29.438429913109097</x:v>
      </x:c>
      <x:c r="D18" s="104" t="n">
        <x:f>Valuation!D5</x:f>
        <x:v>59.20503502431418</x:v>
      </x:c>
      <x:c r="F18" s="104" t="n">
        <x:f>Forecast!B34</x:f>
        <x:v>0.3582</x:v>
      </x:c>
      <x:c r="G18" s="104" t="n">
        <x:f>Forecast!C34</x:f>
        <x:v>0.8406999999999999</x:v>
      </x:c>
      <x:c r="H18" s="104" t="n">
        <x:f>Forecast!D34</x:f>
        <x:v>1.7331999999999999</x:v>
      </x:c>
      <x:c r="I18" s="104" t="n">
        <x:f>Forecast!E34</x:f>
        <x:v>2.2032</x:v>
      </x:c>
      <x:c r="J18" s="104" t="n">
        <x:f>Forecast!F34</x:f>
        <x:v>2.6782</x:v>
      </x:c>
      <x:c r="K18" s="104" t="n">
        <x:f>Forecast!G34</x:f>
        <x:v>3.2481999999999998</x:v>
      </x:c>
      <x:c r="L18" s="104" t="n">
        <x:f>Forecast!H34</x:f>
        <x:v>3.8182</x:v>
      </x:c>
      <x:c r="M18" s="104" t="n">
        <x:f>Forecast!I34</x:f>
        <x:v>4.3882</x:v>
      </x:c>
      <x:c r="N18" s="104" t="n">
        <x:f>Forecast!J34</x:f>
        <x:v>4.9582</x:v>
      </x:c>
      <x:c r="O18" s="104" t="n">
        <x:f>Forecast!K34</x:f>
        <x:v>5.5282</x:v>
      </x:c>
    </x:row>
    <x:row r="19">
      <x:c r="A19" t="str">
        <x:v>2028 Forward NOI</x:v>
      </x:c>
      <x:c r="B19" s="104" t="n">
        <x:f>Valuation!B6</x:f>
        <x:v>7.14421028523086</x:v>
      </x:c>
      <x:c r="C19" s="104" t="n">
        <x:f>Valuation!C6</x:f>
        <x:v>29.393568385926</x:v>
      </x:c>
      <x:c r="D19" s="104" t="n">
        <x:f>Valuation!D6</x:f>
        <x:v>65.26961171162449</x:v>
      </x:c>
      <x:c r="F19" s="104" t="n">
        <x:f>Forecast!B37</x:f>
        <x:v>0.035820000000000005</x:v>
      </x:c>
      <x:c r="G19" s="104" t="n">
        <x:f>Forecast!C37</x:f>
        <x:v>0.462385</x:v>
      </x:c>
      <x:c r="H19" s="104" t="n">
        <x:f>Forecast!D37</x:f>
        <x:v>1.247904</x:v>
      </x:c>
      <x:c r="I19" s="104" t="n">
        <x:f>Forecast!E37</x:f>
        <x:v>1.6303679999999998</x:v>
      </x:c>
      <x:c r="J19" s="104" t="n">
        <x:f>Forecast!F37</x:f>
        <x:v>2.035432</x:v>
      </x:c>
      <x:c r="K19" s="104" t="n">
        <x:f>Forecast!G37</x:f>
        <x:v>2.501114</x:v>
      </x:c>
      <x:c r="L19" s="104" t="n">
        <x:f>Forecast!H37</x:f>
        <x:v>2.978196</x:v>
      </x:c>
      <x:c r="M19" s="104" t="n">
        <x:f>Forecast!I37</x:f>
        <x:v>3.4227960000000004</x:v>
      </x:c>
      <x:c r="N19" s="104" t="n">
        <x:f>Forecast!J37</x:f>
        <x:v>3.867396</x:v>
      </x:c>
      <x:c r="O19" s="104" t="n">
        <x:f>Forecast!K37</x:f>
        <x:v>4.311996</x:v>
      </x:c>
    </x:row>
    <x:row r="20">
      <x:c r="A20" t="str">
        <x:v>2030 EV/EBITDA</x:v>
      </x:c>
      <x:c r="B20" s="104" t="n">
        <x:f>Valuation!B7</x:f>
        <x:v>7.947079703699133</x:v>
      </x:c>
      <x:c r="C20" s="104" t="n">
        <x:f>Valuation!C7</x:f>
        <x:v>32.10572316826173</x:v>
      </x:c>
      <x:c r="D20" s="104" t="n">
        <x:f>Valuation!D7</x:f>
        <x:v>62.00777994968654</x:v>
      </x:c>
    </x:row>
    <x:row r="21">
      <x:c r="A21" t="str">
        <x:v>DCF</x:v>
      </x:c>
      <x:c r="B21" s="104" t="n">
        <x:f>Valuation!B8</x:f>
        <x:v>0</x:v>
      </x:c>
      <x:c r="C21" s="104" t="n">
        <x:f>Valuation!C8</x:f>
        <x:v>7.428099499391014</x:v>
      </x:c>
      <x:c r="D21" s="104" t="n">
        <x:f>Valuation!D8</x:f>
        <x:v>45.60369787818888</x:v>
      </x:c>
    </x:row>
    <x:row r="22">
      <x:c r="A22" s="96" t="str">
        <x:v>Blended</x:v>
      </x:c>
      <x:c r="B22" s="97" t="n">
        <x:f>Valuation!B9</x:f>
        <x:v>8.056123917573746</x:v>
      </x:c>
      <x:c r="C22" s="97" t="n">
        <x:f>Valuation!C9</x:f>
        <x:v>27.62627547821441</x:v>
      </x:c>
      <x:c r="D22" s="97" t="n">
        <x:f>Valuation!D9</x:f>
        <x:v>59.78145722033507</x:v>
      </x:c>
    </x:row>
    <x:row r="23">
      <x:c r="F23" t="str">
        <x:v>2026E</x:v>
      </x:c>
      <x:c r="G23" t="str">
        <x:v>2027E</x:v>
      </x:c>
      <x:c r="H23" t="str">
        <x:v>2028E</x:v>
      </x:c>
      <x:c r="I23" t="str">
        <x:v>2029E</x:v>
      </x:c>
      <x:c r="J23" t="str">
        <x:v>2030E</x:v>
      </x:c>
      <x:c r="K23" t="str">
        <x:v>2031E</x:v>
      </x:c>
      <x:c r="L23" t="str">
        <x:v>2032E</x:v>
      </x:c>
      <x:c r="M23" t="str">
        <x:v>2033E</x:v>
      </x:c>
      <x:c r="N23" t="str">
        <x:v>2034E</x:v>
      </x:c>
      <x:c r="O23" t="str">
        <x:v>2035E</x:v>
      </x:c>
    </x:row>
    <x:row r="24">
      <x:c r="F24" s="226" t="n">
        <x:f>Forecast!B46</x:f>
        <x:v>270</x:v>
      </x:c>
      <x:c r="G24" s="226" t="n">
        <x:f>Forecast!C46</x:f>
        <x:v>650</x:v>
      </x:c>
      <x:c r="H24" s="226" t="n">
        <x:f>Forecast!D46</x:f>
        <x:v>877</x:v>
      </x:c>
      <x:c r="I24" s="226" t="n">
        <x:f>Forecast!E46</x:f>
        <x:v>1077</x:v>
      </x:c>
      <x:c r="J24" s="226" t="n">
        <x:f>Forecast!F46</x:f>
        <x:v>1327</x:v>
      </x:c>
      <x:c r="K24" s="226" t="n">
        <x:f>Forecast!G46</x:f>
        <x:v>1627</x:v>
      </x:c>
      <x:c r="L24" s="226" t="n">
        <x:f>Forecast!H46</x:f>
        <x:v>1927</x:v>
      </x:c>
      <x:c r="M24" s="226" t="n">
        <x:f>Forecast!I46</x:f>
        <x:v>2227</x:v>
      </x:c>
      <x:c r="N24" s="226" t="n">
        <x:f>Forecast!J46</x:f>
        <x:v>2527</x:v>
      </x:c>
      <x:c r="O24" s="226" t="n">
        <x:f>Forecast!K46</x:f>
        <x:v>2827</x:v>
      </x:c>
    </x:row>
    <x:row r="25">
      <x:c r="A25" s="41" t="str">
        <x:v>What Changes the Thesis?</x:v>
      </x:c>
      <x:c r="B25" s="41" t="str">
        <x:v>What Changes the Thesis?</x:v>
      </x:c>
      <x:c r="C25" s="41" t="str">
        <x:v>What Changes the Thesis?</x:v>
      </x:c>
      <x:c r="D25" s="41" t="str">
        <x:v>What Changes the Thesis?</x:v>
      </x:c>
      <x:c r="E25" s="41" t="str">
        <x:v>What Changes the Thesis?</x:v>
      </x:c>
      <x:c r="F25" s="41" t="str">
        <x:v>What Changes the Thesis?</x:v>
      </x:c>
      <x:c r="G25" s="41" t="str">
        <x:v>What Changes the Thesis?</x:v>
      </x:c>
      <x:c r="H25" s="41" t="str">
        <x:v>What Changes the Thesis?</x:v>
      </x:c>
      <x:c r="I25" s="41" t="str">
        <x:v>What Changes the Thesis?</x:v>
      </x:c>
      <x:c r="J25" s="41" t="str">
        <x:v>What Changes the Thesis?</x:v>
      </x:c>
      <x:c r="K25" s="41" t="str">
        <x:v>What Changes the Thesis?</x:v>
      </x:c>
      <x:c r="L25" s="41" t="str">
        <x:v>What Changes the Thesis?</x:v>
      </x:c>
      <x:c r="M25" s="41" t="str">
        <x:v>What Changes the Thesis?</x:v>
      </x:c>
      <x:c r="N25" s="41" t="str">
        <x:v>What Changes the Thesis?</x:v>
      </x:c>
    </x:row>
    <x:row r="26">
      <x:c r="A26" s="19" t="str">
        <x:v>Driver</x:v>
      </x:c>
      <x:c r="B26" s="19" t="str">
        <x:v>Current signal</x:v>
      </x:c>
      <x:c r="C26" s="19" t="str">
        <x:v>Model implication</x:v>
      </x:c>
      <x:c r="D26" s="19" t="str">
        <x:v>Evidence</x:v>
      </x:c>
    </x:row>
    <x:row r="27">
      <x:c r="A27" s="26" t="str">
        <x:v>Lake Mariner execution</x:v>
      </x:c>
      <x:c r="B27" s="224" t="str">
        <x:v>Positive</x:v>
      </x:c>
      <x:c r="C27" s="26" t="str">
        <x:v>CB3 delivered; CB4 commissioning; CB5 phased early 2027. Delays would reduce 2026/27 cash rent.</x:v>
      </x:c>
      <x:c r="D27" s="26" t="str">
        <x:v>S1</x:v>
      </x:c>
    </x:row>
    <x:row r="28">
      <x:c r="A28" s="26" t="str">
        <x:v>Anthropic credit / delivery</x:v>
      </x:c>
      <x:c r="B28" s="224" t="str">
        <x:v>Major positive</x:v>
      </x:c>
      <x:c r="C28" s="26" t="str">
        <x:v>401MW / ~$19B 20-year contract materially extends duration; construction/funding remains the key risk.</x:v>
      </x:c>
      <x:c r="D28" s="26" t="str">
        <x:v>S1/S3</x:v>
      </x:c>
    </x:row>
    <x:row r="29">
      <x:c r="A29" s="26" t="str">
        <x:v>Funding / leverage</x:v>
      </x:c>
      <x:c r="B29" s="224" t="str">
        <x:v>Key risk</x:v>
      </x:c>
      <x:c r="C29" s="26" t="str">
        <x:v>~$3.0B cash+restricted but ~$5.2B debt carrying value and heavy ongoing capex. Net-debt assumptions drive valuation.</x:v>
      </x:c>
      <x:c r="D29" s="26" t="str">
        <x:v>S1</x:v>
      </x:c>
    </x:row>
    <x:row r="30">
      <x:c r="A30" s="26" t="str">
        <x:v>Dilution</x:v>
      </x:c>
      <x:c r="B30" s="224" t="str">
        <x:v>Material</x:v>
      </x:c>
      <x:c r="C30" s="26" t="str">
        <x:v>~80.9M warrants + ~47.5M RSUs reference; Google warrants largely penny-strike. Convert dilution is excluded only while notes remain debt.</x:v>
      </x:c>
      <x:c r="D30" s="26" t="str">
        <x:v>S4/S5/S6</x:v>
      </x:c>
    </x:row>
    <x:row r="31">
      <x:c r="A31" s="26" t="str">
        <x:v>Pipeline leasing</x:v>
      </x:c>
      <x:c r="B31" s="224" t="str">
        <x:v>Upside, not base certainty</x:v>
      </x:c>
      <x:c r="C31" s="26" t="str">
        <x:v>Muskie 1GW power, Chesapeake up to 1GW, Hawkeye ~320MW; no disclosed tenant yet. Model probability-weights these.</x:v>
      </x:c>
      <x:c r="D31" s="26" t="str">
        <x:v>S1</x:v>
      </x:c>
    </x:row>
    <x:row r="32">
      <x:c r="A32" s="26" t="str">
        <x:v>Mining</x:v>
      </x:c>
      <x:c r="B32" s="224" t="str">
        <x:v>Fading relevance</x:v>
      </x:c>
      <x:c r="C32" s="26" t="str">
        <x:v>HPC was ~71% of Q2 revenue; model largely phases mining out.</x:v>
      </x:c>
      <x:c r="D32" s="26" t="str">
        <x:v>S1</x:v>
      </x:c>
    </x:row>
  </x:sheetData>
  <x:mergeCells>
    <x:mergeCell ref="A1:N1"/>
    <x:mergeCell ref="A2:N2"/>
    <x:mergeCell ref="A4:C4"/>
    <x:mergeCell ref="A5:C6"/>
    <x:mergeCell ref="E4:G4"/>
    <x:mergeCell ref="E5:G6"/>
    <x:mergeCell ref="I4:K4"/>
    <x:mergeCell ref="I5:K6"/>
    <x:mergeCell ref="A8:C8"/>
    <x:mergeCell ref="A9:C10"/>
    <x:mergeCell ref="E8:G8"/>
    <x:mergeCell ref="E9:G10"/>
    <x:mergeCell ref="I8:K8"/>
    <x:mergeCell ref="I9:K10"/>
    <x:mergeCell ref="A12:C12"/>
    <x:mergeCell ref="A13:C14"/>
    <x:mergeCell ref="E12:G12"/>
    <x:mergeCell ref="E13:G14"/>
    <x:mergeCell ref="I12:K12"/>
    <x:mergeCell ref="I13:K14"/>
    <x:mergeCell ref="A16:N16"/>
    <x:mergeCell ref="A25:N25"/>
  </x:mergeCells>
  <x:pageMargins left="0.7" right="0.7" top="0.75" bottom="0.75" header="0.3" footer="0.3"/>
  <x:drawing xmlns:r="http://schemas.openxmlformats.org/officeDocument/2006/relationships" r:id="R4ec6927470804019"/>
</x:worksheet>
</file>